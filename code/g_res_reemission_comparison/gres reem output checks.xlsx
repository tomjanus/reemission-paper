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N:\PROJECTS\Reemission soft paper_validations\GRES RUNS\"/>
    </mc:Choice>
  </mc:AlternateContent>
  <xr:revisionPtr revIDLastSave="0" documentId="13_ncr:1_{5BEC6CBF-3490-4734-A4B0-5B35FA5EB1B9}" xr6:coauthVersionLast="47" xr6:coauthVersionMax="47" xr10:uidLastSave="{00000000-0000-0000-0000-000000000000}"/>
  <bookViews>
    <workbookView xWindow="-109" yWindow="-109" windowWidth="26301" windowHeight="14169" xr2:uid="{996F3CDF-DD85-4B51-9612-D20FDC031C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" i="1" l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T22" i="1"/>
  <c r="V22" i="1" s="1"/>
  <c r="X2" i="1"/>
  <c r="Y41" i="1"/>
  <c r="X41" i="1"/>
  <c r="T41" i="1"/>
  <c r="V41" i="1" s="1"/>
  <c r="S41" i="1"/>
  <c r="U41" i="1" s="1"/>
  <c r="Y40" i="1"/>
  <c r="X40" i="1"/>
  <c r="T40" i="1"/>
  <c r="V40" i="1" s="1"/>
  <c r="S40" i="1"/>
  <c r="U40" i="1" s="1"/>
  <c r="Y39" i="1"/>
  <c r="X39" i="1"/>
  <c r="T39" i="1"/>
  <c r="V39" i="1" s="1"/>
  <c r="S39" i="1"/>
  <c r="U39" i="1" s="1"/>
  <c r="Y38" i="1"/>
  <c r="X38" i="1"/>
  <c r="T38" i="1"/>
  <c r="V38" i="1" s="1"/>
  <c r="S38" i="1"/>
  <c r="U38" i="1" s="1"/>
  <c r="Y37" i="1"/>
  <c r="X37" i="1"/>
  <c r="T37" i="1"/>
  <c r="V37" i="1" s="1"/>
  <c r="S37" i="1"/>
  <c r="U37" i="1" s="1"/>
  <c r="Y36" i="1"/>
  <c r="X36" i="1"/>
  <c r="T36" i="1"/>
  <c r="V36" i="1" s="1"/>
  <c r="S36" i="1"/>
  <c r="U36" i="1" s="1"/>
  <c r="Y35" i="1"/>
  <c r="X35" i="1"/>
  <c r="T35" i="1"/>
  <c r="V35" i="1" s="1"/>
  <c r="S35" i="1"/>
  <c r="U35" i="1" s="1"/>
  <c r="Y34" i="1"/>
  <c r="X34" i="1"/>
  <c r="T34" i="1"/>
  <c r="V34" i="1" s="1"/>
  <c r="S34" i="1"/>
  <c r="U34" i="1" s="1"/>
  <c r="Y33" i="1"/>
  <c r="X33" i="1"/>
  <c r="T33" i="1"/>
  <c r="V33" i="1" s="1"/>
  <c r="S33" i="1"/>
  <c r="U33" i="1" s="1"/>
  <c r="Y32" i="1"/>
  <c r="X32" i="1"/>
  <c r="S32" i="1"/>
  <c r="U32" i="1" s="1"/>
  <c r="P32" i="1"/>
  <c r="T32" i="1" s="1"/>
  <c r="V32" i="1" s="1"/>
  <c r="Y31" i="1"/>
  <c r="X31" i="1"/>
  <c r="T31" i="1"/>
  <c r="V31" i="1" s="1"/>
  <c r="S31" i="1"/>
  <c r="U31" i="1" s="1"/>
  <c r="Y30" i="1"/>
  <c r="X30" i="1"/>
  <c r="T30" i="1"/>
  <c r="V30" i="1" s="1"/>
  <c r="S30" i="1"/>
  <c r="U30" i="1" s="1"/>
  <c r="Y29" i="1"/>
  <c r="X29" i="1"/>
  <c r="T29" i="1"/>
  <c r="V29" i="1" s="1"/>
  <c r="S29" i="1"/>
  <c r="U29" i="1" s="1"/>
  <c r="Y28" i="1"/>
  <c r="X28" i="1"/>
  <c r="T28" i="1"/>
  <c r="V28" i="1" s="1"/>
  <c r="S28" i="1"/>
  <c r="U28" i="1" s="1"/>
  <c r="Y27" i="1"/>
  <c r="X27" i="1"/>
  <c r="T27" i="1"/>
  <c r="V27" i="1" s="1"/>
  <c r="S27" i="1"/>
  <c r="U27" i="1" s="1"/>
  <c r="Y26" i="1"/>
  <c r="X26" i="1"/>
  <c r="T26" i="1"/>
  <c r="V26" i="1" s="1"/>
  <c r="S26" i="1"/>
  <c r="U26" i="1" s="1"/>
  <c r="Y25" i="1"/>
  <c r="X25" i="1"/>
  <c r="T25" i="1"/>
  <c r="V25" i="1" s="1"/>
  <c r="S25" i="1"/>
  <c r="U25" i="1" s="1"/>
  <c r="Y24" i="1"/>
  <c r="X24" i="1"/>
  <c r="T24" i="1"/>
  <c r="V24" i="1" s="1"/>
  <c r="S24" i="1"/>
  <c r="U24" i="1" s="1"/>
  <c r="Y23" i="1"/>
  <c r="X23" i="1"/>
  <c r="T23" i="1"/>
  <c r="V23" i="1" s="1"/>
  <c r="S23" i="1"/>
  <c r="U23" i="1" s="1"/>
  <c r="Y22" i="1"/>
  <c r="X22" i="1"/>
  <c r="S22" i="1"/>
  <c r="U22" i="1" s="1"/>
  <c r="X21" i="1"/>
  <c r="L21" i="1"/>
  <c r="T21" i="1" s="1"/>
  <c r="V21" i="1" s="1"/>
  <c r="K21" i="1"/>
  <c r="X20" i="1"/>
  <c r="L20" i="1"/>
  <c r="T20" i="1" s="1"/>
  <c r="V20" i="1" s="1"/>
  <c r="K20" i="1"/>
  <c r="X19" i="1"/>
  <c r="L19" i="1"/>
  <c r="T19" i="1" s="1"/>
  <c r="V19" i="1" s="1"/>
  <c r="K19" i="1"/>
  <c r="S19" i="1" s="1"/>
  <c r="U19" i="1" s="1"/>
  <c r="X18" i="1"/>
  <c r="L18" i="1"/>
  <c r="T18" i="1" s="1"/>
  <c r="V18" i="1" s="1"/>
  <c r="K18" i="1"/>
  <c r="S18" i="1" s="1"/>
  <c r="U18" i="1" s="1"/>
  <c r="X17" i="1"/>
  <c r="L17" i="1"/>
  <c r="T17" i="1" s="1"/>
  <c r="V17" i="1" s="1"/>
  <c r="K17" i="1"/>
  <c r="S17" i="1" s="1"/>
  <c r="U17" i="1" s="1"/>
  <c r="X16" i="1"/>
  <c r="L16" i="1"/>
  <c r="T16" i="1" s="1"/>
  <c r="V16" i="1" s="1"/>
  <c r="K16" i="1"/>
  <c r="S16" i="1" s="1"/>
  <c r="U16" i="1" s="1"/>
  <c r="X15" i="1"/>
  <c r="L15" i="1"/>
  <c r="T15" i="1" s="1"/>
  <c r="V15" i="1" s="1"/>
  <c r="K15" i="1"/>
  <c r="X14" i="1"/>
  <c r="L14" i="1"/>
  <c r="T14" i="1" s="1"/>
  <c r="V14" i="1" s="1"/>
  <c r="K14" i="1"/>
  <c r="X13" i="1"/>
  <c r="L13" i="1"/>
  <c r="T13" i="1" s="1"/>
  <c r="V13" i="1" s="1"/>
  <c r="K13" i="1"/>
  <c r="S13" i="1" s="1"/>
  <c r="U13" i="1" s="1"/>
  <c r="X12" i="1"/>
  <c r="L12" i="1"/>
  <c r="T12" i="1" s="1"/>
  <c r="V12" i="1" s="1"/>
  <c r="K12" i="1"/>
  <c r="S12" i="1" s="1"/>
  <c r="U12" i="1" s="1"/>
  <c r="X11" i="1"/>
  <c r="L11" i="1"/>
  <c r="T11" i="1" s="1"/>
  <c r="V11" i="1" s="1"/>
  <c r="K11" i="1"/>
  <c r="S11" i="1" s="1"/>
  <c r="U11" i="1" s="1"/>
  <c r="X10" i="1"/>
  <c r="L10" i="1"/>
  <c r="T10" i="1" s="1"/>
  <c r="V10" i="1" s="1"/>
  <c r="K10" i="1"/>
  <c r="Y10" i="1" s="1"/>
  <c r="X9" i="1"/>
  <c r="L9" i="1"/>
  <c r="T9" i="1" s="1"/>
  <c r="V9" i="1" s="1"/>
  <c r="K9" i="1"/>
  <c r="X8" i="1"/>
  <c r="L8" i="1"/>
  <c r="T8" i="1" s="1"/>
  <c r="V8" i="1" s="1"/>
  <c r="K8" i="1"/>
  <c r="X7" i="1"/>
  <c r="L7" i="1"/>
  <c r="T7" i="1" s="1"/>
  <c r="V7" i="1" s="1"/>
  <c r="K7" i="1"/>
  <c r="S7" i="1" s="1"/>
  <c r="U7" i="1" s="1"/>
  <c r="X6" i="1"/>
  <c r="L6" i="1"/>
  <c r="T6" i="1" s="1"/>
  <c r="V6" i="1" s="1"/>
  <c r="K6" i="1"/>
  <c r="S6" i="1" s="1"/>
  <c r="U6" i="1" s="1"/>
  <c r="X5" i="1"/>
  <c r="L5" i="1"/>
  <c r="T5" i="1" s="1"/>
  <c r="V5" i="1" s="1"/>
  <c r="K5" i="1"/>
  <c r="S5" i="1" s="1"/>
  <c r="U5" i="1" s="1"/>
  <c r="X4" i="1"/>
  <c r="L4" i="1"/>
  <c r="T4" i="1" s="1"/>
  <c r="V4" i="1" s="1"/>
  <c r="K4" i="1"/>
  <c r="X3" i="1"/>
  <c r="L3" i="1"/>
  <c r="T3" i="1" s="1"/>
  <c r="V3" i="1" s="1"/>
  <c r="K3" i="1"/>
  <c r="L2" i="1"/>
  <c r="T2" i="1" s="1"/>
  <c r="V2" i="1" s="1"/>
  <c r="K2" i="1"/>
  <c r="Y2" i="1" l="1"/>
  <c r="Y20" i="1"/>
  <c r="Y3" i="1"/>
  <c r="Y14" i="1"/>
  <c r="Y9" i="1"/>
  <c r="W22" i="1"/>
  <c r="Y21" i="1"/>
  <c r="Y4" i="1"/>
  <c r="W40" i="1"/>
  <c r="Y16" i="1"/>
  <c r="S10" i="1"/>
  <c r="U10" i="1" s="1"/>
  <c r="W10" i="1" s="1"/>
  <c r="S4" i="1"/>
  <c r="U4" i="1" s="1"/>
  <c r="W4" i="1" s="1"/>
  <c r="Y8" i="1"/>
  <c r="Y15" i="1"/>
  <c r="W13" i="1"/>
  <c r="W36" i="1"/>
  <c r="W16" i="1"/>
  <c r="W33" i="1"/>
  <c r="W7" i="1"/>
  <c r="W17" i="1"/>
  <c r="W25" i="1"/>
  <c r="W23" i="1"/>
  <c r="W18" i="1"/>
  <c r="W12" i="1"/>
  <c r="W34" i="1"/>
  <c r="W39" i="1"/>
  <c r="W11" i="1"/>
  <c r="W5" i="1"/>
  <c r="W31" i="1"/>
  <c r="W6" i="1"/>
  <c r="W30" i="1"/>
  <c r="W19" i="1"/>
  <c r="W26" i="1"/>
  <c r="W24" i="1"/>
  <c r="W29" i="1"/>
  <c r="W27" i="1"/>
  <c r="W37" i="1"/>
  <c r="S3" i="1"/>
  <c r="U3" i="1" s="1"/>
  <c r="Y6" i="1"/>
  <c r="S9" i="1"/>
  <c r="U9" i="1" s="1"/>
  <c r="Y12" i="1"/>
  <c r="S15" i="1"/>
  <c r="U15" i="1" s="1"/>
  <c r="Y18" i="1"/>
  <c r="S21" i="1"/>
  <c r="U21" i="1" s="1"/>
  <c r="W28" i="1"/>
  <c r="Y7" i="1"/>
  <c r="Y19" i="1"/>
  <c r="Y13" i="1"/>
  <c r="S2" i="1"/>
  <c r="U2" i="1" s="1"/>
  <c r="Y5" i="1"/>
  <c r="S8" i="1"/>
  <c r="U8" i="1" s="1"/>
  <c r="Y11" i="1"/>
  <c r="S14" i="1"/>
  <c r="U14" i="1" s="1"/>
  <c r="Y17" i="1"/>
  <c r="S20" i="1"/>
  <c r="U20" i="1" s="1"/>
  <c r="W32" i="1"/>
  <c r="W35" i="1"/>
  <c r="W38" i="1"/>
  <c r="W41" i="1"/>
  <c r="W2" i="1" l="1"/>
  <c r="W3" i="1"/>
  <c r="W14" i="1"/>
  <c r="W20" i="1"/>
  <c r="W15" i="1"/>
  <c r="W8" i="1"/>
  <c r="W21" i="1"/>
  <c r="W9" i="1"/>
</calcChain>
</file>

<file path=xl/sharedStrings.xml><?xml version="1.0" encoding="utf-8"?>
<sst xmlns="http://schemas.openxmlformats.org/spreadsheetml/2006/main" count="132" uniqueCount="35">
  <si>
    <t>gCO2eq/m2/yr</t>
  </si>
  <si>
    <t>res</t>
  </si>
  <si>
    <t>var</t>
  </si>
  <si>
    <t>reem</t>
  </si>
  <si>
    <t>gres</t>
  </si>
  <si>
    <t>annual net emissions (gCO2eq/m2/yr)</t>
  </si>
  <si>
    <t>year</t>
  </si>
  <si>
    <t>co2_profile_0_REV_DEGAS</t>
  </si>
  <si>
    <t>ch4_profile_0_REV_DEGAS</t>
  </si>
  <si>
    <t>co2_profile_0</t>
  </si>
  <si>
    <t>ch4_profile_0</t>
  </si>
  <si>
    <t>ch4_ebullition</t>
  </si>
  <si>
    <t>ch4_preimp</t>
  </si>
  <si>
    <t>preimpCO2</t>
  </si>
  <si>
    <t>degass</t>
  </si>
  <si>
    <t>CO2 diff</t>
  </si>
  <si>
    <t>CH4diff</t>
  </si>
  <si>
    <t>CO2tot</t>
  </si>
  <si>
    <t>CH4tot</t>
  </si>
  <si>
    <t>Csum</t>
  </si>
  <si>
    <t>reem_rev_degas</t>
  </si>
  <si>
    <t>Alaw</t>
  </si>
  <si>
    <t>ch4_degassing</t>
  </si>
  <si>
    <t>ch4_diffusion</t>
  </si>
  <si>
    <t>ch4_net</t>
  </si>
  <si>
    <t>co2_minus_nonanthro</t>
  </si>
  <si>
    <t>co2_net</t>
  </si>
  <si>
    <t>co2_preimp</t>
  </si>
  <si>
    <t>BE</t>
  </si>
  <si>
    <t>MY</t>
  </si>
  <si>
    <t>SG</t>
  </si>
  <si>
    <t>*some small/negligible changes to above with degass code correction</t>
  </si>
  <si>
    <t>post degas revision</t>
  </si>
  <si>
    <t>pre-degas revision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</si>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</sst>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1" fontId="2" fillId="2" borderId="0" xfId="0" applyNumberFormat="1" applyFont="1" applyFill="1" applyAlignment="1">
      <alignment horizontal="center"/>
    </xf>
    <xf numFmtId="1" fontId="2" fillId="3" borderId="0" xfId="0" applyNumberFormat="1" applyFont="1" applyFill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/>
    <xf numFmtId="0" fontId="2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FCDF0-BB8D-43B8-835D-A5CD601AACDC}">
  <dimension ref="A1:AA41"/>
  <sheetViews>
    <sheetView tabSelected="1" workbookViewId="0">
      <pane ySplit="1" topLeftCell="A2" activePane="bottomLeft" state="frozen"/>
      <selection activeCell="H1" sqref="H1"/>
      <selection pane="bottomLeft"/>
    </sheetView>
  </sheetViews>
  <sheetFormatPr defaultRowHeight="10.9" x14ac:dyDescent="0.2"/>
  <cols>
    <col min="1" max="1" width="13.85546875" bestFit="1" customWidth="1"/>
    <col min="2" max="2" width="5" bestFit="1" customWidth="1"/>
    <col min="3" max="3" width="37.140625" customWidth="1"/>
    <col min="4" max="4" width="5.7109375" bestFit="1" customWidth="1"/>
    <col min="5" max="5" width="5.5703125" bestFit="1" customWidth="1"/>
    <col min="6" max="6" width="5.5703125" customWidth="1"/>
    <col min="7" max="7" width="8.28515625" customWidth="1"/>
    <col min="8" max="8" width="35.42578125" bestFit="1" customWidth="1"/>
    <col min="9" max="10" width="5" bestFit="1" customWidth="1"/>
    <col min="11" max="12" width="25.7109375" bestFit="1" customWidth="1"/>
    <col min="13" max="14" width="13.140625" bestFit="1" customWidth="1"/>
    <col min="15" max="15" width="13.85546875" bestFit="1" customWidth="1"/>
    <col min="16" max="16" width="11.5703125" bestFit="1" customWidth="1"/>
    <col min="17" max="17" width="11.140625" bestFit="1" customWidth="1"/>
    <col min="18" max="18" width="7.28515625" bestFit="1" customWidth="1"/>
    <col min="19" max="19" width="8.140625" bestFit="1" customWidth="1"/>
    <col min="20" max="20" width="7.42578125" bestFit="1" customWidth="1"/>
    <col min="21" max="21" width="7" bestFit="1" customWidth="1"/>
    <col min="22" max="22" width="6.85546875" bestFit="1" customWidth="1"/>
    <col min="23" max="23" width="6" bestFit="1" customWidth="1"/>
    <col min="24" max="24" width="5.7109375" bestFit="1" customWidth="1"/>
    <col min="25" max="25" width="18.28515625" customWidth="1"/>
    <col min="26" max="27" width="10.28515625" customWidth="1"/>
  </cols>
  <sheetData>
    <row r="1" spans="1:27" s="12" customFormat="1" ht="11.55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/>
      <c r="G1" s="9"/>
      <c r="H1" s="9" t="s">
        <v>5</v>
      </c>
      <c r="I1" s="9" t="s">
        <v>1</v>
      </c>
      <c r="J1" s="9" t="s">
        <v>6</v>
      </c>
      <c r="K1" s="10" t="s">
        <v>7</v>
      </c>
      <c r="L1" s="10" t="s">
        <v>8</v>
      </c>
      <c r="M1" s="11" t="s">
        <v>9</v>
      </c>
      <c r="N1" s="11" t="s">
        <v>10</v>
      </c>
      <c r="O1" s="9" t="s">
        <v>11</v>
      </c>
      <c r="P1" s="9" t="s">
        <v>12</v>
      </c>
      <c r="Q1" s="9" t="s">
        <v>13</v>
      </c>
      <c r="R1" s="9" t="s">
        <v>14</v>
      </c>
      <c r="S1" s="9" t="s">
        <v>15</v>
      </c>
      <c r="T1" s="9" t="s">
        <v>16</v>
      </c>
      <c r="U1" s="10" t="s">
        <v>17</v>
      </c>
      <c r="V1" s="10" t="s">
        <v>18</v>
      </c>
      <c r="W1" s="9" t="s">
        <v>19</v>
      </c>
      <c r="X1" s="11" t="s">
        <v>3</v>
      </c>
      <c r="Y1" s="10" t="s">
        <v>20</v>
      </c>
      <c r="Z1" s="9" t="s">
        <v>4</v>
      </c>
      <c r="AA1" s="9" t="s">
        <v>34</v>
      </c>
    </row>
    <row r="2" spans="1:27" ht="11.55" x14ac:dyDescent="0.2">
      <c r="A2" s="1"/>
      <c r="B2" s="1" t="s">
        <v>21</v>
      </c>
      <c r="C2" s="1" t="s">
        <v>22</v>
      </c>
      <c r="D2" s="2">
        <v>0</v>
      </c>
      <c r="E2" s="2">
        <v>0</v>
      </c>
      <c r="F2" s="2"/>
      <c r="G2" s="2"/>
      <c r="H2" s="1"/>
      <c r="I2" s="1" t="s">
        <v>21</v>
      </c>
      <c r="J2" s="1">
        <v>1</v>
      </c>
      <c r="K2" s="3">
        <f>M2</f>
        <v>651.69299999999998</v>
      </c>
      <c r="L2" s="3">
        <f>N2</f>
        <v>666.02</v>
      </c>
      <c r="M2" s="4">
        <v>651.69299999999998</v>
      </c>
      <c r="N2" s="4">
        <v>666.02</v>
      </c>
      <c r="O2" s="2">
        <v>391.00639999999999</v>
      </c>
      <c r="P2" s="2">
        <v>0</v>
      </c>
      <c r="Q2" s="2">
        <v>-5.3</v>
      </c>
      <c r="R2" s="2">
        <v>0</v>
      </c>
      <c r="S2" s="2">
        <f>K2+Q2</f>
        <v>646.39300000000003</v>
      </c>
      <c r="T2" s="2">
        <f>L2-O2+P2-R2</f>
        <v>275.0136</v>
      </c>
      <c r="U2" s="3">
        <f>S2-Q2</f>
        <v>651.69299999999998</v>
      </c>
      <c r="V2" s="3">
        <f t="shared" ref="V2:V11" si="0">T2+O2+R2-P2</f>
        <v>666.02</v>
      </c>
      <c r="W2" s="2">
        <f>U2+V2</f>
        <v>1317.713</v>
      </c>
      <c r="X2" s="4">
        <f>M2+N2</f>
        <v>1317.713</v>
      </c>
      <c r="Y2" s="3">
        <f>K2+L2</f>
        <v>1317.713</v>
      </c>
      <c r="Z2" s="2">
        <v>1286</v>
      </c>
      <c r="AA2" s="2">
        <f>Y2-Z2</f>
        <v>31.712999999999965</v>
      </c>
    </row>
    <row r="3" spans="1:27" ht="11.55" x14ac:dyDescent="0.2">
      <c r="A3" s="1"/>
      <c r="B3" s="1" t="s">
        <v>21</v>
      </c>
      <c r="C3" s="1" t="s">
        <v>23</v>
      </c>
      <c r="D3" s="2">
        <v>83.651399999999995</v>
      </c>
      <c r="E3" s="2">
        <v>85.320000000000007</v>
      </c>
      <c r="F3" s="2"/>
      <c r="G3" s="2"/>
      <c r="H3" s="1"/>
      <c r="I3" s="1" t="s">
        <v>21</v>
      </c>
      <c r="J3" s="1">
        <v>5</v>
      </c>
      <c r="K3" s="3">
        <f t="shared" ref="K3:L21" si="1">M3</f>
        <v>307.9624</v>
      </c>
      <c r="L3" s="3">
        <f t="shared" si="1"/>
        <v>632.32690000000002</v>
      </c>
      <c r="M3" s="4">
        <v>307.9624</v>
      </c>
      <c r="N3" s="4">
        <v>632.32690000000002</v>
      </c>
      <c r="O3" s="2">
        <v>391.00639999999999</v>
      </c>
      <c r="P3" s="2">
        <v>0</v>
      </c>
      <c r="Q3" s="2">
        <v>-5.3</v>
      </c>
      <c r="R3" s="2">
        <v>0</v>
      </c>
      <c r="S3" s="2">
        <f>K3+Q3</f>
        <v>302.66239999999999</v>
      </c>
      <c r="T3" s="2">
        <f>L3-O3+P3-R3</f>
        <v>241.32050000000004</v>
      </c>
      <c r="U3" s="3">
        <f t="shared" ref="U3:U41" si="2">S3-Q3</f>
        <v>307.9624</v>
      </c>
      <c r="V3" s="3">
        <f t="shared" si="0"/>
        <v>632.32690000000002</v>
      </c>
      <c r="W3" s="2">
        <f t="shared" ref="W3:W41" si="3">U3+V3</f>
        <v>940.28930000000003</v>
      </c>
      <c r="X3" s="4">
        <f>M3+N3</f>
        <v>940.28930000000003</v>
      </c>
      <c r="Y3" s="3">
        <f>K3+L3</f>
        <v>940.28930000000003</v>
      </c>
      <c r="Z3" s="2">
        <v>928</v>
      </c>
      <c r="AA3" s="2">
        <f t="shared" ref="AA3:AA41" si="4">Y3-Z3</f>
        <v>12.289300000000026</v>
      </c>
    </row>
    <row r="4" spans="1:27" ht="11.55" x14ac:dyDescent="0.2">
      <c r="A4" s="1"/>
      <c r="B4" s="1" t="s">
        <v>21</v>
      </c>
      <c r="C4" s="1" t="s">
        <v>11</v>
      </c>
      <c r="D4" s="2">
        <v>391.00639999999999</v>
      </c>
      <c r="E4" s="2">
        <v>388.68</v>
      </c>
      <c r="F4" s="2"/>
      <c r="G4" s="2"/>
      <c r="H4" s="13" t="s">
        <v>33</v>
      </c>
      <c r="I4" s="1" t="s">
        <v>21</v>
      </c>
      <c r="J4" s="1">
        <v>10</v>
      </c>
      <c r="K4" s="3">
        <f t="shared" si="1"/>
        <v>207.68029999999999</v>
      </c>
      <c r="L4" s="3">
        <f t="shared" si="1"/>
        <v>595.95460000000003</v>
      </c>
      <c r="M4" s="4">
        <v>207.68029999999999</v>
      </c>
      <c r="N4" s="4">
        <v>595.95460000000003</v>
      </c>
      <c r="O4" s="2">
        <v>391.00639999999999</v>
      </c>
      <c r="P4" s="2">
        <v>0</v>
      </c>
      <c r="Q4" s="2">
        <v>-5.3</v>
      </c>
      <c r="R4" s="2">
        <v>0</v>
      </c>
      <c r="S4" s="2">
        <f>K4+Q4</f>
        <v>202.38029999999998</v>
      </c>
      <c r="T4" s="2">
        <f>L4-O4+P4-R4</f>
        <v>204.94820000000004</v>
      </c>
      <c r="U4" s="3">
        <f t="shared" si="2"/>
        <v>207.68029999999999</v>
      </c>
      <c r="V4" s="3">
        <f t="shared" si="0"/>
        <v>595.95460000000003</v>
      </c>
      <c r="W4" s="2">
        <f t="shared" si="3"/>
        <v>803.63490000000002</v>
      </c>
      <c r="X4" s="4">
        <f>M4+N4</f>
        <v>803.63490000000002</v>
      </c>
      <c r="Y4" s="3">
        <f>K4+L4</f>
        <v>803.63490000000002</v>
      </c>
      <c r="Z4" s="2">
        <v>797</v>
      </c>
      <c r="AA4" s="2">
        <f t="shared" si="4"/>
        <v>6.634900000000016</v>
      </c>
    </row>
    <row r="5" spans="1:27" ht="11.55" x14ac:dyDescent="0.2">
      <c r="A5" s="1"/>
      <c r="B5" s="1" t="s">
        <v>21</v>
      </c>
      <c r="C5" s="1" t="s">
        <v>24</v>
      </c>
      <c r="D5" s="2">
        <v>474.65769999999998</v>
      </c>
      <c r="E5" s="2">
        <v>474</v>
      </c>
      <c r="F5" s="2"/>
      <c r="G5" s="2"/>
      <c r="H5" s="14" t="s">
        <v>32</v>
      </c>
      <c r="I5" s="1" t="s">
        <v>21</v>
      </c>
      <c r="J5" s="1">
        <v>20</v>
      </c>
      <c r="K5" s="3">
        <f t="shared" si="1"/>
        <v>127.9023</v>
      </c>
      <c r="L5" s="3">
        <f t="shared" si="1"/>
        <v>538.83010000000002</v>
      </c>
      <c r="M5" s="4">
        <v>127.9023</v>
      </c>
      <c r="N5" s="4">
        <v>538.83010000000002</v>
      </c>
      <c r="O5" s="2">
        <v>391.00639999999999</v>
      </c>
      <c r="P5" s="2">
        <v>0</v>
      </c>
      <c r="Q5" s="2">
        <v>-5.3</v>
      </c>
      <c r="R5" s="2">
        <v>0</v>
      </c>
      <c r="S5" s="2">
        <f>K5+Q5</f>
        <v>122.6023</v>
      </c>
      <c r="T5" s="2">
        <f>L5-O5+P5-R5</f>
        <v>147.82370000000003</v>
      </c>
      <c r="U5" s="3">
        <f t="shared" si="2"/>
        <v>127.9023</v>
      </c>
      <c r="V5" s="3">
        <f t="shared" si="0"/>
        <v>538.83010000000002</v>
      </c>
      <c r="W5" s="2">
        <f t="shared" si="3"/>
        <v>666.73239999999998</v>
      </c>
      <c r="X5" s="4">
        <f>M5+N5</f>
        <v>666.73239999999998</v>
      </c>
      <c r="Y5" s="3">
        <f>K5+L5</f>
        <v>666.73239999999998</v>
      </c>
      <c r="Z5" s="2">
        <v>665</v>
      </c>
      <c r="AA5" s="2">
        <f t="shared" si="4"/>
        <v>1.7323999999999842</v>
      </c>
    </row>
    <row r="6" spans="1:27" ht="11.55" x14ac:dyDescent="0.2">
      <c r="A6" s="1"/>
      <c r="B6" s="1" t="s">
        <v>21</v>
      </c>
      <c r="C6" s="1" t="s">
        <v>12</v>
      </c>
      <c r="D6" s="2">
        <v>0</v>
      </c>
      <c r="E6" s="2">
        <v>0</v>
      </c>
      <c r="F6" s="2"/>
      <c r="G6" s="2"/>
      <c r="H6" s="1"/>
      <c r="I6" s="1" t="s">
        <v>21</v>
      </c>
      <c r="J6" s="1">
        <v>30</v>
      </c>
      <c r="K6" s="3">
        <f t="shared" si="1"/>
        <v>89.027900000000002</v>
      </c>
      <c r="L6" s="3">
        <f t="shared" si="1"/>
        <v>497.6277</v>
      </c>
      <c r="M6" s="4">
        <v>89.027900000000002</v>
      </c>
      <c r="N6" s="4">
        <v>497.6277</v>
      </c>
      <c r="O6" s="2">
        <v>391.00639999999999</v>
      </c>
      <c r="P6" s="2">
        <v>0</v>
      </c>
      <c r="Q6" s="2">
        <v>-5.3</v>
      </c>
      <c r="R6" s="2">
        <v>0</v>
      </c>
      <c r="S6" s="2">
        <f>K6+Q6</f>
        <v>83.727900000000005</v>
      </c>
      <c r="T6" s="2">
        <f>L6-O6+P6-R6</f>
        <v>106.62130000000002</v>
      </c>
      <c r="U6" s="3">
        <f t="shared" si="2"/>
        <v>89.027900000000002</v>
      </c>
      <c r="V6" s="3">
        <f t="shared" si="0"/>
        <v>497.6277</v>
      </c>
      <c r="W6" s="2">
        <f t="shared" si="3"/>
        <v>586.65560000000005</v>
      </c>
      <c r="X6" s="4">
        <f>M6+N6</f>
        <v>586.65560000000005</v>
      </c>
      <c r="Y6" s="3">
        <f>K6+L6</f>
        <v>586.65560000000005</v>
      </c>
      <c r="Z6" s="2">
        <v>587</v>
      </c>
      <c r="AA6" s="2">
        <f t="shared" si="4"/>
        <v>-0.34439999999995052</v>
      </c>
    </row>
    <row r="7" spans="1:27" ht="11.55" x14ac:dyDescent="0.2">
      <c r="A7" s="1"/>
      <c r="B7" s="1" t="s">
        <v>21</v>
      </c>
      <c r="C7" s="1" t="s">
        <v>25</v>
      </c>
      <c r="D7" s="2">
        <v>83.393199999999993</v>
      </c>
      <c r="E7" s="2">
        <v>79</v>
      </c>
      <c r="F7" s="2"/>
      <c r="G7" s="2"/>
      <c r="H7" s="1"/>
      <c r="I7" s="1" t="s">
        <v>21</v>
      </c>
      <c r="J7" s="1">
        <v>40</v>
      </c>
      <c r="K7" s="3">
        <f t="shared" si="1"/>
        <v>64.435900000000004</v>
      </c>
      <c r="L7" s="3">
        <f t="shared" si="1"/>
        <v>467.90949999999998</v>
      </c>
      <c r="M7" s="4">
        <v>64.435900000000004</v>
      </c>
      <c r="N7" s="4">
        <v>467.90949999999998</v>
      </c>
      <c r="O7" s="2">
        <v>391.00639999999999</v>
      </c>
      <c r="P7" s="2">
        <v>0</v>
      </c>
      <c r="Q7" s="2">
        <v>-5.3</v>
      </c>
      <c r="R7" s="2">
        <v>0</v>
      </c>
      <c r="S7" s="2">
        <f>K7+Q7</f>
        <v>59.135900000000007</v>
      </c>
      <c r="T7" s="2">
        <f>L7-O7+P7-R7</f>
        <v>76.903099999999995</v>
      </c>
      <c r="U7" s="3">
        <f t="shared" si="2"/>
        <v>64.435900000000004</v>
      </c>
      <c r="V7" s="3">
        <f t="shared" si="0"/>
        <v>467.90949999999998</v>
      </c>
      <c r="W7" s="2">
        <f t="shared" si="3"/>
        <v>532.34539999999993</v>
      </c>
      <c r="X7" s="4">
        <f>M7+N7</f>
        <v>532.34539999999993</v>
      </c>
      <c r="Y7" s="3">
        <f>K7+L7</f>
        <v>532.34539999999993</v>
      </c>
      <c r="Z7" s="2">
        <v>534</v>
      </c>
      <c r="AA7" s="2">
        <f t="shared" si="4"/>
        <v>-1.6546000000000731</v>
      </c>
    </row>
    <row r="8" spans="1:27" ht="11.55" x14ac:dyDescent="0.2">
      <c r="A8" s="1"/>
      <c r="B8" s="1" t="s">
        <v>21</v>
      </c>
      <c r="C8" s="1" t="s">
        <v>26</v>
      </c>
      <c r="D8" s="2">
        <v>88.69319999999999</v>
      </c>
      <c r="E8" s="2">
        <v>84</v>
      </c>
      <c r="F8" s="2"/>
      <c r="G8" s="2"/>
      <c r="H8" s="1"/>
      <c r="I8" s="1" t="s">
        <v>21</v>
      </c>
      <c r="J8" s="1">
        <v>50</v>
      </c>
      <c r="K8" s="3">
        <f t="shared" si="1"/>
        <v>46.9054</v>
      </c>
      <c r="L8" s="3">
        <f t="shared" si="1"/>
        <v>446.47460000000001</v>
      </c>
      <c r="M8" s="4">
        <v>46.9054</v>
      </c>
      <c r="N8" s="4">
        <v>446.47460000000001</v>
      </c>
      <c r="O8" s="2">
        <v>391.00639999999999</v>
      </c>
      <c r="P8" s="2">
        <v>0</v>
      </c>
      <c r="Q8" s="2">
        <v>-5.3</v>
      </c>
      <c r="R8" s="2">
        <v>0</v>
      </c>
      <c r="S8" s="2">
        <f>K8+Q8</f>
        <v>41.605400000000003</v>
      </c>
      <c r="T8" s="2">
        <f>L8-O8+P8-R8</f>
        <v>55.468200000000024</v>
      </c>
      <c r="U8" s="3">
        <f t="shared" si="2"/>
        <v>46.9054</v>
      </c>
      <c r="V8" s="3">
        <f t="shared" si="0"/>
        <v>446.47460000000001</v>
      </c>
      <c r="W8" s="2">
        <f t="shared" si="3"/>
        <v>493.38</v>
      </c>
      <c r="X8" s="4">
        <f>M8+N8</f>
        <v>493.38</v>
      </c>
      <c r="Y8" s="3">
        <f>K8+L8</f>
        <v>493.38</v>
      </c>
      <c r="Z8" s="2">
        <v>496</v>
      </c>
      <c r="AA8" s="2">
        <f t="shared" si="4"/>
        <v>-2.6200000000000045</v>
      </c>
    </row>
    <row r="9" spans="1:27" ht="11.55" x14ac:dyDescent="0.2">
      <c r="A9" s="1"/>
      <c r="B9" s="1" t="s">
        <v>21</v>
      </c>
      <c r="C9" s="1" t="s">
        <v>27</v>
      </c>
      <c r="D9" s="2">
        <v>-5.3</v>
      </c>
      <c r="E9" s="2">
        <v>-5</v>
      </c>
      <c r="F9" s="2"/>
      <c r="G9" s="2"/>
      <c r="H9" s="1"/>
      <c r="I9" s="1" t="s">
        <v>21</v>
      </c>
      <c r="J9" s="1">
        <v>65</v>
      </c>
      <c r="K9" s="3">
        <f t="shared" si="1"/>
        <v>27.878900000000002</v>
      </c>
      <c r="L9" s="3">
        <f t="shared" si="1"/>
        <v>424.98410000000001</v>
      </c>
      <c r="M9" s="4">
        <v>27.878900000000002</v>
      </c>
      <c r="N9" s="4">
        <v>424.98410000000001</v>
      </c>
      <c r="O9" s="2">
        <v>391.00639999999999</v>
      </c>
      <c r="P9" s="2">
        <v>0</v>
      </c>
      <c r="Q9" s="2">
        <v>-5.3</v>
      </c>
      <c r="R9" s="2">
        <v>0</v>
      </c>
      <c r="S9" s="2">
        <f>K9+Q9</f>
        <v>22.578900000000001</v>
      </c>
      <c r="T9" s="2">
        <f>L9-O9+P9-R9</f>
        <v>33.977700000000027</v>
      </c>
      <c r="U9" s="3">
        <f t="shared" si="2"/>
        <v>27.878900000000002</v>
      </c>
      <c r="V9" s="3">
        <f t="shared" si="0"/>
        <v>424.98410000000001</v>
      </c>
      <c r="W9" s="2">
        <f t="shared" si="3"/>
        <v>452.863</v>
      </c>
      <c r="X9" s="4">
        <f>M9+N9</f>
        <v>452.863</v>
      </c>
      <c r="Y9" s="3">
        <f>K9+L9</f>
        <v>452.863</v>
      </c>
      <c r="Z9" s="2">
        <v>456</v>
      </c>
      <c r="AA9" s="2">
        <f t="shared" si="4"/>
        <v>-3.1370000000000005</v>
      </c>
    </row>
    <row r="10" spans="1:27" ht="11.55" x14ac:dyDescent="0.2">
      <c r="A10" s="1"/>
      <c r="B10" s="1" t="s">
        <v>28</v>
      </c>
      <c r="C10" s="1" t="s">
        <v>22</v>
      </c>
      <c r="D10" s="2">
        <v>0</v>
      </c>
      <c r="E10" s="2">
        <v>0</v>
      </c>
      <c r="F10" s="2"/>
      <c r="G10" s="2"/>
      <c r="H10" s="1"/>
      <c r="I10" s="1" t="s">
        <v>21</v>
      </c>
      <c r="J10" s="1">
        <v>80</v>
      </c>
      <c r="K10" s="3">
        <f t="shared" si="1"/>
        <v>13.946099999999999</v>
      </c>
      <c r="L10" s="3">
        <f t="shared" si="1"/>
        <v>411.81979999999999</v>
      </c>
      <c r="M10" s="4">
        <v>13.946099999999999</v>
      </c>
      <c r="N10" s="4">
        <v>411.81979999999999</v>
      </c>
      <c r="O10" s="2">
        <v>391.00639999999999</v>
      </c>
      <c r="P10" s="2">
        <v>0</v>
      </c>
      <c r="Q10" s="2">
        <v>-5.3</v>
      </c>
      <c r="R10" s="2">
        <v>0</v>
      </c>
      <c r="S10" s="2">
        <f>K10+Q10</f>
        <v>8.6461000000000006</v>
      </c>
      <c r="T10" s="2">
        <f>L10-O10+P10-R10</f>
        <v>20.813400000000001</v>
      </c>
      <c r="U10" s="3">
        <f t="shared" si="2"/>
        <v>13.946100000000001</v>
      </c>
      <c r="V10" s="3">
        <f t="shared" si="0"/>
        <v>411.81979999999999</v>
      </c>
      <c r="W10" s="2">
        <f t="shared" si="3"/>
        <v>425.76589999999999</v>
      </c>
      <c r="X10" s="4">
        <f>M10+N10</f>
        <v>425.76589999999999</v>
      </c>
      <c r="Y10" s="3">
        <f>K10+L10</f>
        <v>425.76589999999999</v>
      </c>
      <c r="Z10" s="2">
        <v>430</v>
      </c>
      <c r="AA10" s="2">
        <f t="shared" si="4"/>
        <v>-4.2341000000000122</v>
      </c>
    </row>
    <row r="11" spans="1:27" ht="11.55" x14ac:dyDescent="0.2">
      <c r="A11" s="1"/>
      <c r="B11" s="1" t="s">
        <v>28</v>
      </c>
      <c r="C11" s="1" t="s">
        <v>23</v>
      </c>
      <c r="D11" s="2">
        <v>47.930100000000003</v>
      </c>
      <c r="E11" s="2">
        <v>48.650000000000006</v>
      </c>
      <c r="F11" s="2"/>
      <c r="G11" s="2"/>
      <c r="H11" s="1"/>
      <c r="I11" s="1" t="s">
        <v>21</v>
      </c>
      <c r="J11" s="1">
        <v>100</v>
      </c>
      <c r="K11" s="3">
        <f t="shared" si="1"/>
        <v>0</v>
      </c>
      <c r="L11" s="3">
        <f t="shared" si="1"/>
        <v>401.83429999999998</v>
      </c>
      <c r="M11" s="4">
        <v>0</v>
      </c>
      <c r="N11" s="4">
        <v>401.83429999999998</v>
      </c>
      <c r="O11" s="2">
        <v>391.00639999999999</v>
      </c>
      <c r="P11" s="2">
        <v>0</v>
      </c>
      <c r="Q11" s="2">
        <v>-5.3</v>
      </c>
      <c r="R11" s="2">
        <v>0</v>
      </c>
      <c r="S11" s="2">
        <f>K11+Q11</f>
        <v>-5.3</v>
      </c>
      <c r="T11" s="2">
        <f>L11-O11+P11-R11</f>
        <v>10.8279</v>
      </c>
      <c r="U11" s="3">
        <f t="shared" si="2"/>
        <v>0</v>
      </c>
      <c r="V11" s="3">
        <f t="shared" si="0"/>
        <v>401.83429999999998</v>
      </c>
      <c r="W11" s="2">
        <f t="shared" si="3"/>
        <v>401.83429999999998</v>
      </c>
      <c r="X11" s="4">
        <f>M11+N11</f>
        <v>401.83429999999998</v>
      </c>
      <c r="Y11" s="3">
        <f>K11+L11</f>
        <v>401.83429999999998</v>
      </c>
      <c r="Z11" s="2">
        <v>407</v>
      </c>
      <c r="AA11" s="2">
        <f t="shared" si="4"/>
        <v>-5.1657000000000153</v>
      </c>
    </row>
    <row r="12" spans="1:27" ht="11.55" x14ac:dyDescent="0.2">
      <c r="A12" s="1"/>
      <c r="B12" s="1" t="s">
        <v>28</v>
      </c>
      <c r="C12" s="1" t="s">
        <v>11</v>
      </c>
      <c r="D12" s="2">
        <v>90.941500000000005</v>
      </c>
      <c r="E12" s="2">
        <v>90.350000000000009</v>
      </c>
      <c r="F12" s="2"/>
      <c r="G12" s="2"/>
      <c r="H12" s="1"/>
      <c r="I12" s="1" t="s">
        <v>28</v>
      </c>
      <c r="J12" s="1">
        <v>1</v>
      </c>
      <c r="K12" s="3">
        <f t="shared" si="1"/>
        <v>-1042.0754999999999</v>
      </c>
      <c r="L12" s="3">
        <f t="shared" si="1"/>
        <v>200.32220000000001</v>
      </c>
      <c r="M12" s="4">
        <v>-1042.0754999999999</v>
      </c>
      <c r="N12" s="4">
        <v>200.32220000000001</v>
      </c>
      <c r="O12" s="2">
        <v>90.941500000000005</v>
      </c>
      <c r="P12" s="2">
        <v>48.195</v>
      </c>
      <c r="Q12" s="2">
        <v>1375</v>
      </c>
      <c r="R12" s="2">
        <v>0</v>
      </c>
      <c r="S12" s="2">
        <f>K12+Q12</f>
        <v>332.92450000000008</v>
      </c>
      <c r="T12" s="2">
        <f>L12-O12+P12-R12</f>
        <v>157.57570000000001</v>
      </c>
      <c r="U12" s="3">
        <f t="shared" si="2"/>
        <v>-1042.0754999999999</v>
      </c>
      <c r="V12" s="3">
        <f>T12+O12+R12-P12</f>
        <v>200.32220000000001</v>
      </c>
      <c r="W12" s="2">
        <f t="shared" si="3"/>
        <v>-841.75329999999985</v>
      </c>
      <c r="X12" s="4">
        <f>M12+N12</f>
        <v>-841.75329999999985</v>
      </c>
      <c r="Y12" s="3">
        <f>K12+L12</f>
        <v>-841.75329999999985</v>
      </c>
      <c r="Z12" s="2">
        <v>-840</v>
      </c>
      <c r="AA12" s="2">
        <f t="shared" si="4"/>
        <v>-1.7532999999998538</v>
      </c>
    </row>
    <row r="13" spans="1:27" ht="11.55" x14ac:dyDescent="0.2">
      <c r="A13" s="1"/>
      <c r="B13" s="1" t="s">
        <v>28</v>
      </c>
      <c r="C13" s="1" t="s">
        <v>24</v>
      </c>
      <c r="D13" s="2">
        <v>90.676599999999993</v>
      </c>
      <c r="E13" s="2">
        <v>90</v>
      </c>
      <c r="F13" s="2"/>
      <c r="G13" s="2"/>
      <c r="H13" s="1"/>
      <c r="I13" s="1" t="s">
        <v>28</v>
      </c>
      <c r="J13" s="1">
        <v>5</v>
      </c>
      <c r="K13" s="3">
        <f t="shared" si="1"/>
        <v>-1217.674</v>
      </c>
      <c r="L13" s="3">
        <f t="shared" si="1"/>
        <v>181.01689999999999</v>
      </c>
      <c r="M13" s="4">
        <v>-1217.674</v>
      </c>
      <c r="N13" s="4">
        <v>181.01689999999999</v>
      </c>
      <c r="O13" s="2">
        <v>90.941500000000005</v>
      </c>
      <c r="P13" s="2">
        <v>48.195</v>
      </c>
      <c r="Q13" s="2">
        <v>1375</v>
      </c>
      <c r="R13" s="2">
        <v>0</v>
      </c>
      <c r="S13" s="2">
        <f>K13+Q13</f>
        <v>157.32600000000002</v>
      </c>
      <c r="T13" s="2">
        <f>L13-O13+P13-R13</f>
        <v>138.2704</v>
      </c>
      <c r="U13" s="3">
        <f t="shared" si="2"/>
        <v>-1217.674</v>
      </c>
      <c r="V13" s="3">
        <f t="shared" ref="V13:V41" si="5">T13+O13+R13-P13</f>
        <v>181.01690000000002</v>
      </c>
      <c r="W13" s="2">
        <f t="shared" si="3"/>
        <v>-1036.6570999999999</v>
      </c>
      <c r="X13" s="4">
        <f>M13+N13</f>
        <v>-1036.6570999999999</v>
      </c>
      <c r="Y13" s="3">
        <f>K13+L13</f>
        <v>-1036.6570999999999</v>
      </c>
      <c r="Z13" s="2">
        <v>-1036</v>
      </c>
      <c r="AA13" s="2">
        <f t="shared" si="4"/>
        <v>-0.65709999999990032</v>
      </c>
    </row>
    <row r="14" spans="1:27" ht="11.55" x14ac:dyDescent="0.2">
      <c r="A14" s="1"/>
      <c r="B14" s="1" t="s">
        <v>28</v>
      </c>
      <c r="C14" s="1" t="s">
        <v>12</v>
      </c>
      <c r="D14" s="2">
        <v>48.195</v>
      </c>
      <c r="E14" s="2">
        <v>48</v>
      </c>
      <c r="F14" s="2"/>
      <c r="G14" s="2"/>
      <c r="H14" s="1"/>
      <c r="I14" s="1" t="s">
        <v>28</v>
      </c>
      <c r="J14" s="1">
        <v>10</v>
      </c>
      <c r="K14" s="3">
        <f t="shared" si="1"/>
        <v>-1268.9041999999999</v>
      </c>
      <c r="L14" s="3">
        <f t="shared" si="1"/>
        <v>160.17660000000001</v>
      </c>
      <c r="M14" s="4">
        <v>-1268.9041999999999</v>
      </c>
      <c r="N14" s="4">
        <v>160.17660000000001</v>
      </c>
      <c r="O14" s="2">
        <v>90.941500000000005</v>
      </c>
      <c r="P14" s="2">
        <v>48.195</v>
      </c>
      <c r="Q14" s="2">
        <v>1375</v>
      </c>
      <c r="R14" s="2">
        <v>0</v>
      </c>
      <c r="S14" s="2">
        <f>K14+Q14</f>
        <v>106.09580000000005</v>
      </c>
      <c r="T14" s="2">
        <f>L14-O14+P14-R14</f>
        <v>117.43010000000001</v>
      </c>
      <c r="U14" s="3">
        <f t="shared" si="2"/>
        <v>-1268.9041999999999</v>
      </c>
      <c r="V14" s="3">
        <f t="shared" si="5"/>
        <v>160.17660000000001</v>
      </c>
      <c r="W14" s="2">
        <f t="shared" si="3"/>
        <v>-1108.7275999999999</v>
      </c>
      <c r="X14" s="4">
        <f>M14+N14</f>
        <v>-1108.7275999999999</v>
      </c>
      <c r="Y14" s="3">
        <f>K14+L14</f>
        <v>-1108.7275999999999</v>
      </c>
      <c r="Z14" s="2">
        <v>-1108</v>
      </c>
      <c r="AA14" s="2">
        <f t="shared" si="4"/>
        <v>-0.72759999999993852</v>
      </c>
    </row>
    <row r="15" spans="1:27" ht="11.55" x14ac:dyDescent="0.2">
      <c r="A15" s="1"/>
      <c r="B15" s="1" t="s">
        <v>28</v>
      </c>
      <c r="C15" s="1" t="s">
        <v>25</v>
      </c>
      <c r="D15" s="2">
        <v>42.6023</v>
      </c>
      <c r="E15" s="2">
        <v>43</v>
      </c>
      <c r="F15" s="2"/>
      <c r="G15" s="2"/>
      <c r="H15" s="1"/>
      <c r="I15" s="1" t="s">
        <v>28</v>
      </c>
      <c r="J15" s="1">
        <v>20</v>
      </c>
      <c r="K15" s="3">
        <f t="shared" si="1"/>
        <v>-1309.6596999999999</v>
      </c>
      <c r="L15" s="3">
        <f t="shared" si="1"/>
        <v>127.4457</v>
      </c>
      <c r="M15" s="4">
        <v>-1309.6596999999999</v>
      </c>
      <c r="N15" s="4">
        <v>127.4457</v>
      </c>
      <c r="O15" s="2">
        <v>90.941500000000005</v>
      </c>
      <c r="P15" s="2">
        <v>48.195</v>
      </c>
      <c r="Q15" s="2">
        <v>1375</v>
      </c>
      <c r="R15" s="2">
        <v>0</v>
      </c>
      <c r="S15" s="2">
        <f>K15+Q15</f>
        <v>65.34030000000007</v>
      </c>
      <c r="T15" s="2">
        <f>L15-O15+P15-R15</f>
        <v>84.69919999999999</v>
      </c>
      <c r="U15" s="3">
        <f t="shared" si="2"/>
        <v>-1309.6596999999999</v>
      </c>
      <c r="V15" s="3">
        <f t="shared" si="5"/>
        <v>127.44569999999999</v>
      </c>
      <c r="W15" s="2">
        <f t="shared" si="3"/>
        <v>-1182.2139999999999</v>
      </c>
      <c r="X15" s="4">
        <f>M15+N15</f>
        <v>-1182.2139999999999</v>
      </c>
      <c r="Y15" s="3">
        <f>K15+L15</f>
        <v>-1182.2139999999999</v>
      </c>
      <c r="Z15" s="2">
        <v>-1182</v>
      </c>
      <c r="AA15" s="2">
        <f t="shared" si="4"/>
        <v>-0.21399999999994179</v>
      </c>
    </row>
    <row r="16" spans="1:27" ht="11.55" x14ac:dyDescent="0.2">
      <c r="A16" s="1"/>
      <c r="B16" s="1" t="s">
        <v>28</v>
      </c>
      <c r="C16" s="1" t="s">
        <v>26</v>
      </c>
      <c r="D16" s="2">
        <v>-1332.3977</v>
      </c>
      <c r="E16" s="2">
        <v>-1332</v>
      </c>
      <c r="F16" s="2"/>
      <c r="G16" s="2"/>
      <c r="H16" s="1"/>
      <c r="I16" s="1" t="s">
        <v>28</v>
      </c>
      <c r="J16" s="1">
        <v>30</v>
      </c>
      <c r="K16" s="3">
        <f t="shared" si="1"/>
        <v>-1329.5191</v>
      </c>
      <c r="L16" s="3">
        <f t="shared" si="1"/>
        <v>103.8378</v>
      </c>
      <c r="M16" s="4">
        <v>-1329.5191</v>
      </c>
      <c r="N16" s="4">
        <v>103.8378</v>
      </c>
      <c r="O16" s="2">
        <v>90.941500000000005</v>
      </c>
      <c r="P16" s="2">
        <v>48.195</v>
      </c>
      <c r="Q16" s="2">
        <v>1375</v>
      </c>
      <c r="R16" s="2">
        <v>0</v>
      </c>
      <c r="S16" s="2">
        <f>K16+Q16</f>
        <v>45.48090000000002</v>
      </c>
      <c r="T16" s="2">
        <f>L16-O16+P16-R16</f>
        <v>61.091299999999997</v>
      </c>
      <c r="U16" s="3">
        <f t="shared" si="2"/>
        <v>-1329.5191</v>
      </c>
      <c r="V16" s="3">
        <f t="shared" si="5"/>
        <v>103.83780000000002</v>
      </c>
      <c r="W16" s="2">
        <f t="shared" si="3"/>
        <v>-1225.6813</v>
      </c>
      <c r="X16" s="4">
        <f>M16+N16</f>
        <v>-1225.6813</v>
      </c>
      <c r="Y16" s="3">
        <f>K16+L16</f>
        <v>-1225.6813</v>
      </c>
      <c r="Z16" s="2">
        <v>-1226</v>
      </c>
      <c r="AA16" s="2">
        <f t="shared" si="4"/>
        <v>0.31870000000003529</v>
      </c>
    </row>
    <row r="17" spans="1:27" ht="11.55" x14ac:dyDescent="0.2">
      <c r="A17" s="1"/>
      <c r="B17" s="1" t="s">
        <v>28</v>
      </c>
      <c r="C17" s="1" t="s">
        <v>27</v>
      </c>
      <c r="D17" s="2">
        <v>1375</v>
      </c>
      <c r="E17" s="2">
        <v>1375</v>
      </c>
      <c r="F17" s="2"/>
      <c r="G17" s="2"/>
      <c r="H17" s="1"/>
      <c r="I17" s="1" t="s">
        <v>28</v>
      </c>
      <c r="J17" s="1">
        <v>40</v>
      </c>
      <c r="K17" s="3">
        <f t="shared" si="1"/>
        <v>-1342.0822000000001</v>
      </c>
      <c r="L17" s="3">
        <f t="shared" si="1"/>
        <v>86.81</v>
      </c>
      <c r="M17" s="4">
        <v>-1342.0822000000001</v>
      </c>
      <c r="N17" s="4">
        <v>86.81</v>
      </c>
      <c r="O17" s="2">
        <v>90.941500000000005</v>
      </c>
      <c r="P17" s="2">
        <v>48.195</v>
      </c>
      <c r="Q17" s="2">
        <v>1375</v>
      </c>
      <c r="R17" s="2">
        <v>0</v>
      </c>
      <c r="S17" s="2">
        <f>K17+Q17</f>
        <v>32.917799999999943</v>
      </c>
      <c r="T17" s="2">
        <f>L17-O17+P17-R17</f>
        <v>44.063499999999998</v>
      </c>
      <c r="U17" s="3">
        <f t="shared" si="2"/>
        <v>-1342.0822000000001</v>
      </c>
      <c r="V17" s="3">
        <f t="shared" si="5"/>
        <v>86.81</v>
      </c>
      <c r="W17" s="2">
        <f t="shared" si="3"/>
        <v>-1255.2722000000001</v>
      </c>
      <c r="X17" s="4">
        <f>M17+N17</f>
        <v>-1255.2722000000001</v>
      </c>
      <c r="Y17" s="3">
        <f>K17+L17</f>
        <v>-1255.2722000000001</v>
      </c>
      <c r="Z17" s="2">
        <v>-1255</v>
      </c>
      <c r="AA17" s="2">
        <f t="shared" si="4"/>
        <v>-0.27220000000011169</v>
      </c>
    </row>
    <row r="18" spans="1:27" ht="11.55" x14ac:dyDescent="0.2">
      <c r="A18" s="1"/>
      <c r="B18" s="1" t="s">
        <v>29</v>
      </c>
      <c r="C18" s="1" t="s">
        <v>22</v>
      </c>
      <c r="D18" s="2">
        <v>167.0967</v>
      </c>
      <c r="E18" s="2">
        <v>166.45999999999998</v>
      </c>
      <c r="F18" s="2"/>
      <c r="G18" s="2"/>
      <c r="H18" s="1"/>
      <c r="I18" s="1" t="s">
        <v>28</v>
      </c>
      <c r="J18" s="1">
        <v>50</v>
      </c>
      <c r="K18" s="3">
        <f t="shared" si="1"/>
        <v>-1351.0378000000001</v>
      </c>
      <c r="L18" s="3">
        <f t="shared" si="1"/>
        <v>74.528300000000002</v>
      </c>
      <c r="M18" s="4">
        <v>-1351.0378000000001</v>
      </c>
      <c r="N18" s="4">
        <v>74.528300000000002</v>
      </c>
      <c r="O18" s="2">
        <v>90.941500000000005</v>
      </c>
      <c r="P18" s="2">
        <v>48.195</v>
      </c>
      <c r="Q18" s="2">
        <v>1375</v>
      </c>
      <c r="R18" s="2">
        <v>0</v>
      </c>
      <c r="S18" s="2">
        <f>K18+Q18</f>
        <v>23.962199999999939</v>
      </c>
      <c r="T18" s="2">
        <f>L18-O18+P18-R18</f>
        <v>31.781799999999997</v>
      </c>
      <c r="U18" s="3">
        <f t="shared" si="2"/>
        <v>-1351.0378000000001</v>
      </c>
      <c r="V18" s="3">
        <f t="shared" si="5"/>
        <v>74.528300000000002</v>
      </c>
      <c r="W18" s="2">
        <f t="shared" si="3"/>
        <v>-1276.5095000000001</v>
      </c>
      <c r="X18" s="4">
        <f>M18+N18</f>
        <v>-1276.5095000000001</v>
      </c>
      <c r="Y18" s="3">
        <f>K18+L18</f>
        <v>-1276.5095000000001</v>
      </c>
      <c r="Z18" s="2">
        <v>-1277</v>
      </c>
      <c r="AA18" s="2">
        <f t="shared" si="4"/>
        <v>0.49049999999988358</v>
      </c>
    </row>
    <row r="19" spans="1:27" ht="11.55" x14ac:dyDescent="0.2">
      <c r="A19" s="1"/>
      <c r="B19" s="1" t="s">
        <v>29</v>
      </c>
      <c r="C19" s="1" t="s">
        <v>23</v>
      </c>
      <c r="D19" s="2">
        <v>94.426100000000005</v>
      </c>
      <c r="E19" s="2">
        <v>94.710000000000008</v>
      </c>
      <c r="F19" s="2"/>
      <c r="G19" s="2"/>
      <c r="H19" s="1"/>
      <c r="I19" s="1" t="s">
        <v>28</v>
      </c>
      <c r="J19" s="1">
        <v>65</v>
      </c>
      <c r="K19" s="3">
        <f t="shared" si="1"/>
        <v>-1360.7578000000001</v>
      </c>
      <c r="L19" s="3">
        <f t="shared" si="1"/>
        <v>62.214799999999997</v>
      </c>
      <c r="M19" s="4">
        <v>-1360.7578000000001</v>
      </c>
      <c r="N19" s="4">
        <v>62.214799999999997</v>
      </c>
      <c r="O19" s="2">
        <v>90.941500000000005</v>
      </c>
      <c r="P19" s="2">
        <v>48.195</v>
      </c>
      <c r="Q19" s="2">
        <v>1375</v>
      </c>
      <c r="R19" s="2">
        <v>0</v>
      </c>
      <c r="S19" s="2">
        <f>K19+Q19</f>
        <v>14.242199999999912</v>
      </c>
      <c r="T19" s="2">
        <f>L19-O19+P19-R19</f>
        <v>19.468299999999992</v>
      </c>
      <c r="U19" s="3">
        <f t="shared" si="2"/>
        <v>-1360.7578000000001</v>
      </c>
      <c r="V19" s="3">
        <f t="shared" si="5"/>
        <v>62.21479999999999</v>
      </c>
      <c r="W19" s="2">
        <f t="shared" si="3"/>
        <v>-1298.5430000000001</v>
      </c>
      <c r="X19" s="4">
        <f>M19+N19</f>
        <v>-1298.5430000000001</v>
      </c>
      <c r="Y19" s="3">
        <f>K19+L19</f>
        <v>-1298.5430000000001</v>
      </c>
      <c r="Z19" s="2">
        <v>-1299</v>
      </c>
      <c r="AA19" s="2">
        <f t="shared" si="4"/>
        <v>0.45699999999987995</v>
      </c>
    </row>
    <row r="20" spans="1:27" ht="11.55" x14ac:dyDescent="0.2">
      <c r="A20" s="1"/>
      <c r="B20" s="1" t="s">
        <v>29</v>
      </c>
      <c r="C20" s="1" t="s">
        <v>11</v>
      </c>
      <c r="D20" s="2">
        <v>25.181899999999999</v>
      </c>
      <c r="E20" s="2">
        <v>25.83</v>
      </c>
      <c r="F20" s="2"/>
      <c r="G20" s="2"/>
      <c r="H20" s="1"/>
      <c r="I20" s="1" t="s">
        <v>28</v>
      </c>
      <c r="J20" s="1">
        <v>80</v>
      </c>
      <c r="K20" s="3">
        <f t="shared" si="1"/>
        <v>-1367.8755000000001</v>
      </c>
      <c r="L20" s="3">
        <f t="shared" si="1"/>
        <v>54.671999999999997</v>
      </c>
      <c r="M20" s="4">
        <v>-1367.8755000000001</v>
      </c>
      <c r="N20" s="4">
        <v>54.671999999999997</v>
      </c>
      <c r="O20" s="2">
        <v>90.941500000000005</v>
      </c>
      <c r="P20" s="2">
        <v>48.195</v>
      </c>
      <c r="Q20" s="2">
        <v>1375</v>
      </c>
      <c r="R20" s="2">
        <v>0</v>
      </c>
      <c r="S20" s="2">
        <f>K20+Q20</f>
        <v>7.1244999999998981</v>
      </c>
      <c r="T20" s="2">
        <f>L20-O20+P20-R20</f>
        <v>11.925499999999992</v>
      </c>
      <c r="U20" s="3">
        <f t="shared" si="2"/>
        <v>-1367.8755000000001</v>
      </c>
      <c r="V20" s="3">
        <f t="shared" si="5"/>
        <v>54.67199999999999</v>
      </c>
      <c r="W20" s="2">
        <f t="shared" si="3"/>
        <v>-1313.2035000000001</v>
      </c>
      <c r="X20" s="4">
        <f>M20+N20</f>
        <v>-1313.2035000000001</v>
      </c>
      <c r="Y20" s="3">
        <f>K20+L20</f>
        <v>-1313.2035000000001</v>
      </c>
      <c r="Z20" s="2">
        <v>-1313</v>
      </c>
      <c r="AA20" s="2">
        <f t="shared" si="4"/>
        <v>-0.2035000000000764</v>
      </c>
    </row>
    <row r="21" spans="1:27" ht="11.55" x14ac:dyDescent="0.2">
      <c r="A21" s="1"/>
      <c r="B21" s="1" t="s">
        <v>29</v>
      </c>
      <c r="C21" s="1" t="s">
        <v>24</v>
      </c>
      <c r="D21" s="2">
        <v>286.70479999999998</v>
      </c>
      <c r="E21" s="2">
        <v>287</v>
      </c>
      <c r="F21" s="2"/>
      <c r="G21" s="2"/>
      <c r="H21" s="1"/>
      <c r="I21" s="1" t="s">
        <v>28</v>
      </c>
      <c r="J21" s="1">
        <v>100</v>
      </c>
      <c r="K21" s="3">
        <f t="shared" si="1"/>
        <v>-1375</v>
      </c>
      <c r="L21" s="3">
        <f t="shared" si="1"/>
        <v>48.950600000000001</v>
      </c>
      <c r="M21" s="4">
        <v>-1375</v>
      </c>
      <c r="N21" s="4">
        <v>48.950600000000001</v>
      </c>
      <c r="O21" s="2">
        <v>90.941500000000005</v>
      </c>
      <c r="P21" s="2">
        <v>48.195</v>
      </c>
      <c r="Q21" s="2">
        <v>1375</v>
      </c>
      <c r="R21" s="2">
        <v>0</v>
      </c>
      <c r="S21" s="2">
        <f>K21+Q21</f>
        <v>0</v>
      </c>
      <c r="T21" s="2">
        <f>L21-O21+P21-R21</f>
        <v>6.2040999999999968</v>
      </c>
      <c r="U21" s="3">
        <f t="shared" si="2"/>
        <v>-1375</v>
      </c>
      <c r="V21" s="3">
        <f t="shared" si="5"/>
        <v>48.950600000000001</v>
      </c>
      <c r="W21" s="2">
        <f t="shared" si="3"/>
        <v>-1326.0494000000001</v>
      </c>
      <c r="X21" s="4">
        <f>M21+N21</f>
        <v>-1326.0494000000001</v>
      </c>
      <c r="Y21" s="3">
        <f>K21+L21</f>
        <v>-1326.0494000000001</v>
      </c>
      <c r="Z21" s="2">
        <v>-1326</v>
      </c>
      <c r="AA21" s="2">
        <f t="shared" si="4"/>
        <v>-4.9400000000105138E-2</v>
      </c>
    </row>
    <row r="22" spans="1:27" ht="11.55" x14ac:dyDescent="0.2">
      <c r="A22" s="1"/>
      <c r="B22" s="1" t="s">
        <v>29</v>
      </c>
      <c r="C22" s="1" t="s">
        <v>12</v>
      </c>
      <c r="D22" s="2">
        <v>0</v>
      </c>
      <c r="E22" s="2">
        <v>0</v>
      </c>
      <c r="F22" s="2"/>
      <c r="G22" s="2"/>
      <c r="H22" s="1"/>
      <c r="I22" s="1" t="s">
        <v>30</v>
      </c>
      <c r="J22" s="1">
        <v>1</v>
      </c>
      <c r="K22" s="3">
        <v>2037.6</v>
      </c>
      <c r="L22" s="3">
        <v>1345</v>
      </c>
      <c r="M22" s="5">
        <v>2037.6219000000001</v>
      </c>
      <c r="N22" s="5">
        <v>2620.6628999999998</v>
      </c>
      <c r="O22" s="6">
        <v>123.20740000000001</v>
      </c>
      <c r="P22" s="6">
        <v>0</v>
      </c>
      <c r="Q22" s="6">
        <v>-116.52670000000001</v>
      </c>
      <c r="R22" s="6">
        <v>557.76080000000002</v>
      </c>
      <c r="S22" s="2">
        <f>K22+Q22</f>
        <v>1921.0733</v>
      </c>
      <c r="T22" s="2">
        <f>L22-O22+P22-R22</f>
        <v>664.03179999999998</v>
      </c>
      <c r="U22" s="3">
        <f t="shared" si="2"/>
        <v>2037.6</v>
      </c>
      <c r="V22" s="3">
        <f>T22+O22+R22-P22</f>
        <v>1345</v>
      </c>
      <c r="W22" s="2">
        <f>U22+V22</f>
        <v>3382.6</v>
      </c>
      <c r="X22" s="4">
        <f>M22+N22</f>
        <v>4658.2847999999994</v>
      </c>
      <c r="Y22" s="3">
        <f>K22+L22</f>
        <v>3382.6</v>
      </c>
      <c r="Z22" s="15">
        <v>3369</v>
      </c>
      <c r="AA22" s="2">
        <f t="shared" si="4"/>
        <v>13.599999999999909</v>
      </c>
    </row>
    <row r="23" spans="1:27" ht="11.55" x14ac:dyDescent="0.2">
      <c r="A23" s="1"/>
      <c r="B23" s="1" t="s">
        <v>29</v>
      </c>
      <c r="C23" s="1" t="s">
        <v>25</v>
      </c>
      <c r="D23" s="2">
        <v>198.82259999999999</v>
      </c>
      <c r="E23" s="2">
        <v>201</v>
      </c>
      <c r="F23" s="2"/>
      <c r="G23" s="2"/>
      <c r="H23" s="1"/>
      <c r="I23" s="1" t="s">
        <v>30</v>
      </c>
      <c r="J23" s="1">
        <v>5</v>
      </c>
      <c r="K23" s="3">
        <v>1024.4000000000001</v>
      </c>
      <c r="L23" s="3">
        <v>1263.7</v>
      </c>
      <c r="M23" s="5">
        <v>1024.3545999999999</v>
      </c>
      <c r="N23" s="5">
        <v>2314.7330999999999</v>
      </c>
      <c r="O23" s="6">
        <v>123.20740000000001</v>
      </c>
      <c r="P23" s="6">
        <v>0</v>
      </c>
      <c r="Q23" s="6">
        <v>-116.52670000000001</v>
      </c>
      <c r="R23" s="6">
        <v>557.76080000000002</v>
      </c>
      <c r="S23" s="2">
        <f>K23+Q23</f>
        <v>907.87330000000009</v>
      </c>
      <c r="T23" s="2">
        <f>L23-O23+P23-R23</f>
        <v>582.73180000000002</v>
      </c>
      <c r="U23" s="3">
        <f t="shared" si="2"/>
        <v>1024.4000000000001</v>
      </c>
      <c r="V23" s="3">
        <f t="shared" si="5"/>
        <v>1263.7</v>
      </c>
      <c r="W23" s="2">
        <f t="shared" si="3"/>
        <v>2288.1000000000004</v>
      </c>
      <c r="X23" s="4">
        <f>M23+N23</f>
        <v>3339.0877</v>
      </c>
      <c r="Y23" s="3">
        <f>K23+L23</f>
        <v>2288.1000000000004</v>
      </c>
      <c r="Z23" s="15">
        <v>2283</v>
      </c>
      <c r="AA23" s="2">
        <f t="shared" si="4"/>
        <v>5.1000000000003638</v>
      </c>
    </row>
    <row r="24" spans="1:27" ht="11.55" x14ac:dyDescent="0.2">
      <c r="A24" s="1"/>
      <c r="B24" s="1" t="s">
        <v>29</v>
      </c>
      <c r="C24" s="1" t="s">
        <v>26</v>
      </c>
      <c r="D24" s="2">
        <v>326.61689999999999</v>
      </c>
      <c r="E24" s="2">
        <v>327</v>
      </c>
      <c r="F24" s="2"/>
      <c r="G24" s="2"/>
      <c r="H24" s="1"/>
      <c r="I24" s="1" t="s">
        <v>30</v>
      </c>
      <c r="J24" s="1">
        <v>10</v>
      </c>
      <c r="K24" s="3">
        <v>728.74</v>
      </c>
      <c r="L24" s="3">
        <v>1175.9000000000001</v>
      </c>
      <c r="M24" s="5">
        <v>728.73779999999999</v>
      </c>
      <c r="N24" s="5">
        <v>1984.4697000000001</v>
      </c>
      <c r="O24" s="6">
        <v>123.20740000000001</v>
      </c>
      <c r="P24" s="6">
        <v>0</v>
      </c>
      <c r="Q24" s="6">
        <v>-116.52670000000001</v>
      </c>
      <c r="R24" s="6">
        <v>557.76080000000002</v>
      </c>
      <c r="S24" s="2">
        <f>K24+Q24</f>
        <v>612.2133</v>
      </c>
      <c r="T24" s="2">
        <f>L24-O24+P24-R24</f>
        <v>494.93180000000007</v>
      </c>
      <c r="U24" s="3">
        <f t="shared" si="2"/>
        <v>728.74</v>
      </c>
      <c r="V24" s="3">
        <f t="shared" si="5"/>
        <v>1175.9000000000001</v>
      </c>
      <c r="W24" s="2">
        <f t="shared" si="3"/>
        <v>1904.64</v>
      </c>
      <c r="X24" s="4">
        <f>M24+N24</f>
        <v>2713.2075</v>
      </c>
      <c r="Y24" s="3">
        <f>K24+L24</f>
        <v>1904.64</v>
      </c>
      <c r="Z24" s="15">
        <v>1902</v>
      </c>
      <c r="AA24" s="2">
        <f t="shared" si="4"/>
        <v>2.6400000000001</v>
      </c>
    </row>
    <row r="25" spans="1:27" ht="11.55" x14ac:dyDescent="0.2">
      <c r="A25" s="1"/>
      <c r="B25" s="1" t="s">
        <v>29</v>
      </c>
      <c r="C25" s="1" t="s">
        <v>27</v>
      </c>
      <c r="D25" s="2">
        <v>-127.79430000000001</v>
      </c>
      <c r="E25" s="2">
        <v>-126</v>
      </c>
      <c r="F25" s="2"/>
      <c r="G25" s="2"/>
      <c r="H25" s="1"/>
      <c r="I25" s="1" t="s">
        <v>30</v>
      </c>
      <c r="J25" s="1">
        <v>20</v>
      </c>
      <c r="K25" s="3">
        <v>493.56</v>
      </c>
      <c r="L25" s="3">
        <v>1037.9000000000001</v>
      </c>
      <c r="M25" s="5">
        <v>493.56380000000001</v>
      </c>
      <c r="N25" s="5">
        <v>1465.7547</v>
      </c>
      <c r="O25" s="6">
        <v>123.20740000000001</v>
      </c>
      <c r="P25" s="6">
        <v>0</v>
      </c>
      <c r="Q25" s="6">
        <v>-116.52670000000001</v>
      </c>
      <c r="R25" s="6">
        <v>557.76080000000002</v>
      </c>
      <c r="S25" s="2">
        <f>K25+Q25</f>
        <v>377.0333</v>
      </c>
      <c r="T25" s="2">
        <f>L25-O25+P25-R25</f>
        <v>356.93180000000007</v>
      </c>
      <c r="U25" s="3">
        <f t="shared" si="2"/>
        <v>493.56</v>
      </c>
      <c r="V25" s="3">
        <f t="shared" si="5"/>
        <v>1037.9000000000001</v>
      </c>
      <c r="W25" s="2">
        <f t="shared" si="3"/>
        <v>1531.46</v>
      </c>
      <c r="X25" s="4">
        <f>M25+N25</f>
        <v>1959.3184999999999</v>
      </c>
      <c r="Y25" s="3">
        <f>K25+L25</f>
        <v>1531.46</v>
      </c>
      <c r="Z25" s="15">
        <v>1531</v>
      </c>
      <c r="AA25" s="2">
        <f t="shared" si="4"/>
        <v>0.46000000000003638</v>
      </c>
    </row>
    <row r="26" spans="1:27" ht="11.55" x14ac:dyDescent="0.2">
      <c r="A26" s="1"/>
      <c r="B26" s="1" t="s">
        <v>30</v>
      </c>
      <c r="C26" s="1" t="s">
        <v>22</v>
      </c>
      <c r="D26" s="2">
        <v>557.76080000000002</v>
      </c>
      <c r="E26" s="2">
        <v>558.17999999999995</v>
      </c>
      <c r="F26" s="2"/>
      <c r="G26" s="2"/>
      <c r="H26" s="1"/>
      <c r="I26" s="1" t="s">
        <v>30</v>
      </c>
      <c r="J26" s="1">
        <v>30</v>
      </c>
      <c r="K26" s="3">
        <v>378.97</v>
      </c>
      <c r="L26" s="3">
        <v>938.43</v>
      </c>
      <c r="M26" s="5">
        <v>378.96769999999998</v>
      </c>
      <c r="N26" s="5">
        <v>1091.6004</v>
      </c>
      <c r="O26" s="6">
        <v>123.20740000000001</v>
      </c>
      <c r="P26" s="6">
        <v>0</v>
      </c>
      <c r="Q26" s="6">
        <v>-116.52670000000001</v>
      </c>
      <c r="R26" s="6">
        <v>557.76080000000002</v>
      </c>
      <c r="S26" s="2">
        <f>K26+Q26</f>
        <v>262.44330000000002</v>
      </c>
      <c r="T26" s="2">
        <f>L26-O26+P26-R26</f>
        <v>257.46179999999993</v>
      </c>
      <c r="U26" s="3">
        <f t="shared" si="2"/>
        <v>378.97</v>
      </c>
      <c r="V26" s="3">
        <f t="shared" si="5"/>
        <v>938.43</v>
      </c>
      <c r="W26" s="2">
        <f t="shared" si="3"/>
        <v>1317.4</v>
      </c>
      <c r="X26" s="4">
        <f>M26+N26</f>
        <v>1470.5681</v>
      </c>
      <c r="Y26" s="3">
        <f>K26+L26</f>
        <v>1317.4</v>
      </c>
      <c r="Z26" s="15">
        <v>1318</v>
      </c>
      <c r="AA26" s="2">
        <f t="shared" si="4"/>
        <v>-0.59999999999990905</v>
      </c>
    </row>
    <row r="27" spans="1:27" ht="11.55" x14ac:dyDescent="0.2">
      <c r="A27" s="1"/>
      <c r="B27" s="1" t="s">
        <v>30</v>
      </c>
      <c r="C27" s="1" t="s">
        <v>23</v>
      </c>
      <c r="D27" s="2">
        <v>201.99340000000001</v>
      </c>
      <c r="E27" s="2">
        <v>203.78</v>
      </c>
      <c r="F27" s="2"/>
      <c r="G27" s="2"/>
      <c r="H27" s="1"/>
      <c r="I27" s="1" t="s">
        <v>30</v>
      </c>
      <c r="J27" s="1">
        <v>40</v>
      </c>
      <c r="K27" s="3">
        <v>306.47000000000003</v>
      </c>
      <c r="L27" s="3">
        <v>866.67</v>
      </c>
      <c r="M27" s="5">
        <v>306.47430000000003</v>
      </c>
      <c r="N27" s="5">
        <v>821.71900000000005</v>
      </c>
      <c r="O27" s="6">
        <v>123.20740000000001</v>
      </c>
      <c r="P27" s="6">
        <v>0</v>
      </c>
      <c r="Q27" s="6">
        <v>-116.52670000000001</v>
      </c>
      <c r="R27" s="6">
        <v>557.76080000000002</v>
      </c>
      <c r="S27" s="2">
        <f>K27+Q27</f>
        <v>189.94330000000002</v>
      </c>
      <c r="T27" s="2">
        <f>L27-O27+P27-R27</f>
        <v>185.70179999999993</v>
      </c>
      <c r="U27" s="3">
        <f t="shared" si="2"/>
        <v>306.47000000000003</v>
      </c>
      <c r="V27" s="3">
        <f t="shared" si="5"/>
        <v>866.67</v>
      </c>
      <c r="W27" s="2">
        <f t="shared" si="3"/>
        <v>1173.1399999999999</v>
      </c>
      <c r="X27" s="4">
        <f>M27+N27</f>
        <v>1128.1933000000001</v>
      </c>
      <c r="Y27" s="3">
        <f>K27+L27</f>
        <v>1173.1399999999999</v>
      </c>
      <c r="Z27" s="15">
        <v>1174</v>
      </c>
      <c r="AA27" s="2">
        <f t="shared" si="4"/>
        <v>-0.86000000000012733</v>
      </c>
    </row>
    <row r="28" spans="1:27" ht="11.55" x14ac:dyDescent="0.2">
      <c r="A28" s="1"/>
      <c r="B28" s="1" t="s">
        <v>30</v>
      </c>
      <c r="C28" s="1" t="s">
        <v>11</v>
      </c>
      <c r="D28" s="2">
        <v>123.20740000000001</v>
      </c>
      <c r="E28" s="2">
        <v>124.04</v>
      </c>
      <c r="F28" s="2"/>
      <c r="G28" s="2"/>
      <c r="H28" s="1"/>
      <c r="I28" s="1" t="s">
        <v>30</v>
      </c>
      <c r="J28" s="1">
        <v>50</v>
      </c>
      <c r="K28" s="3">
        <v>254.8</v>
      </c>
      <c r="L28" s="3">
        <v>814.91</v>
      </c>
      <c r="M28" s="5">
        <v>254.797</v>
      </c>
      <c r="N28" s="5">
        <v>627.05089999999996</v>
      </c>
      <c r="O28" s="6">
        <v>123.20740000000001</v>
      </c>
      <c r="P28" s="6">
        <v>0</v>
      </c>
      <c r="Q28" s="6">
        <v>-116.52670000000001</v>
      </c>
      <c r="R28" s="6">
        <v>557.76080000000002</v>
      </c>
      <c r="S28" s="2">
        <f>K28+Q28</f>
        <v>138.27330000000001</v>
      </c>
      <c r="T28" s="2">
        <f>L28-O28+P28-R28</f>
        <v>133.94179999999994</v>
      </c>
      <c r="U28" s="3">
        <f t="shared" si="2"/>
        <v>254.8</v>
      </c>
      <c r="V28" s="3">
        <f t="shared" si="5"/>
        <v>814.91</v>
      </c>
      <c r="W28" s="2">
        <f t="shared" si="3"/>
        <v>1069.71</v>
      </c>
      <c r="X28" s="4">
        <f>M28+N28</f>
        <v>881.84789999999998</v>
      </c>
      <c r="Y28" s="3">
        <f>K28+L28</f>
        <v>1069.71</v>
      </c>
      <c r="Z28" s="15">
        <v>1071</v>
      </c>
      <c r="AA28" s="2">
        <f t="shared" si="4"/>
        <v>-1.2899999999999636</v>
      </c>
    </row>
    <row r="29" spans="1:27" ht="11.55" x14ac:dyDescent="0.2">
      <c r="A29" s="1"/>
      <c r="B29" s="1" t="s">
        <v>30</v>
      </c>
      <c r="C29" s="1" t="s">
        <v>24</v>
      </c>
      <c r="D29" s="2">
        <v>882.96159999999998</v>
      </c>
      <c r="E29" s="2">
        <v>886</v>
      </c>
      <c r="F29" s="2"/>
      <c r="G29" s="2"/>
      <c r="H29" s="1"/>
      <c r="I29" s="1" t="s">
        <v>30</v>
      </c>
      <c r="J29" s="1">
        <v>65</v>
      </c>
      <c r="K29" s="3">
        <v>198.71</v>
      </c>
      <c r="L29" s="3">
        <v>763.01</v>
      </c>
      <c r="M29" s="5">
        <v>198.70939999999999</v>
      </c>
      <c r="N29" s="5">
        <v>431.86619999999999</v>
      </c>
      <c r="O29" s="6">
        <v>123.20740000000001</v>
      </c>
      <c r="P29" s="6">
        <v>0</v>
      </c>
      <c r="Q29" s="6">
        <v>-116.52670000000001</v>
      </c>
      <c r="R29" s="6">
        <v>557.76080000000002</v>
      </c>
      <c r="S29" s="2">
        <f>K29+Q29</f>
        <v>82.183300000000003</v>
      </c>
      <c r="T29" s="2">
        <f>L29-O29+P29-R29</f>
        <v>82.041799999999967</v>
      </c>
      <c r="U29" s="3">
        <f t="shared" si="2"/>
        <v>198.71</v>
      </c>
      <c r="V29" s="3">
        <f t="shared" si="5"/>
        <v>763.01</v>
      </c>
      <c r="W29" s="2">
        <f t="shared" si="3"/>
        <v>961.72</v>
      </c>
      <c r="X29" s="4">
        <f>M29+N29</f>
        <v>630.57560000000001</v>
      </c>
      <c r="Y29" s="3">
        <f>K29+L29</f>
        <v>961.72</v>
      </c>
      <c r="Z29" s="15">
        <v>964</v>
      </c>
      <c r="AA29" s="2">
        <f t="shared" si="4"/>
        <v>-2.2799999999999727</v>
      </c>
    </row>
    <row r="30" spans="1:27" ht="11.55" x14ac:dyDescent="0.2">
      <c r="A30" s="1"/>
      <c r="B30" s="1" t="s">
        <v>30</v>
      </c>
      <c r="C30" s="1" t="s">
        <v>12</v>
      </c>
      <c r="D30" s="2">
        <v>0</v>
      </c>
      <c r="E30" s="2">
        <v>0</v>
      </c>
      <c r="F30" s="2"/>
      <c r="G30" s="2"/>
      <c r="H30" s="1"/>
      <c r="I30" s="1" t="s">
        <v>30</v>
      </c>
      <c r="J30" s="1">
        <v>80</v>
      </c>
      <c r="K30" s="3">
        <v>157.63999999999999</v>
      </c>
      <c r="L30" s="3">
        <v>731.23</v>
      </c>
      <c r="M30" s="5">
        <v>157.6378</v>
      </c>
      <c r="N30" s="5">
        <v>312.2944</v>
      </c>
      <c r="O30" s="6">
        <v>123.20740000000001</v>
      </c>
      <c r="P30" s="6">
        <v>0</v>
      </c>
      <c r="Q30" s="6">
        <v>-116.52670000000001</v>
      </c>
      <c r="R30" s="6">
        <v>557.76080000000002</v>
      </c>
      <c r="S30" s="2">
        <f>K30+Q30</f>
        <v>41.113299999999981</v>
      </c>
      <c r="T30" s="2">
        <f>L30-O30+P30-R30</f>
        <v>50.261799999999994</v>
      </c>
      <c r="U30" s="3">
        <f t="shared" si="2"/>
        <v>157.63999999999999</v>
      </c>
      <c r="V30" s="3">
        <f t="shared" si="5"/>
        <v>731.23</v>
      </c>
      <c r="W30" s="2">
        <f t="shared" si="3"/>
        <v>888.87</v>
      </c>
      <c r="X30" s="4">
        <f>M30+N30</f>
        <v>469.93219999999997</v>
      </c>
      <c r="Y30" s="3">
        <f>K30+L30</f>
        <v>888.87</v>
      </c>
      <c r="Z30" s="15">
        <v>891</v>
      </c>
      <c r="AA30" s="2">
        <f t="shared" si="4"/>
        <v>-2.1299999999999955</v>
      </c>
    </row>
    <row r="31" spans="1:27" ht="11.55" x14ac:dyDescent="0.2">
      <c r="A31" s="1"/>
      <c r="B31" s="1" t="s">
        <v>30</v>
      </c>
      <c r="C31" s="1" t="s">
        <v>25</v>
      </c>
      <c r="D31" s="2">
        <v>245.83080000000001</v>
      </c>
      <c r="E31" s="2">
        <v>243</v>
      </c>
      <c r="F31" s="2"/>
      <c r="G31" s="2"/>
      <c r="H31" s="1"/>
      <c r="I31" s="1" t="s">
        <v>30</v>
      </c>
      <c r="J31" s="1">
        <v>100</v>
      </c>
      <c r="K31" s="3">
        <v>116.53</v>
      </c>
      <c r="L31" s="3">
        <v>707.11</v>
      </c>
      <c r="M31" s="5">
        <v>116.52670000000001</v>
      </c>
      <c r="N31" s="5">
        <v>221.58709999999999</v>
      </c>
      <c r="O31" s="6">
        <v>123.20740000000001</v>
      </c>
      <c r="P31" s="6">
        <v>0</v>
      </c>
      <c r="Q31" s="6">
        <v>-116.52670000000001</v>
      </c>
      <c r="R31" s="6">
        <v>557.76080000000002</v>
      </c>
      <c r="S31" s="2">
        <f>K31+Q31</f>
        <v>3.2999999999958618E-3</v>
      </c>
      <c r="T31" s="2">
        <f>L31-O31+P31-R31</f>
        <v>26.141799999999989</v>
      </c>
      <c r="U31" s="3">
        <f t="shared" si="2"/>
        <v>116.53</v>
      </c>
      <c r="V31" s="3">
        <f t="shared" si="5"/>
        <v>707.11</v>
      </c>
      <c r="W31" s="2">
        <f t="shared" si="3"/>
        <v>823.64</v>
      </c>
      <c r="X31" s="4">
        <f>M31+N31</f>
        <v>338.11379999999997</v>
      </c>
      <c r="Y31" s="3">
        <f>K31+L31</f>
        <v>823.64</v>
      </c>
      <c r="Z31" s="15">
        <v>826</v>
      </c>
      <c r="AA31" s="2">
        <f t="shared" si="4"/>
        <v>-2.3600000000000136</v>
      </c>
    </row>
    <row r="32" spans="1:27" ht="13.6" x14ac:dyDescent="0.25">
      <c r="A32" s="1"/>
      <c r="B32" s="1" t="s">
        <v>30</v>
      </c>
      <c r="C32" s="1" t="s">
        <v>26</v>
      </c>
      <c r="D32" s="2">
        <v>362.35750000000002</v>
      </c>
      <c r="E32" s="2">
        <v>360</v>
      </c>
      <c r="F32" s="2"/>
      <c r="G32" s="2"/>
      <c r="H32" s="1"/>
      <c r="I32" s="1" t="s">
        <v>29</v>
      </c>
      <c r="J32" s="1">
        <v>1</v>
      </c>
      <c r="K32" s="3">
        <v>1681.5</v>
      </c>
      <c r="L32" s="3">
        <v>502.72</v>
      </c>
      <c r="M32" s="5">
        <v>1681.5341000000001</v>
      </c>
      <c r="N32" s="5">
        <v>884.87139999999999</v>
      </c>
      <c r="O32" s="7">
        <v>25.181899999999999</v>
      </c>
      <c r="P32" s="7">
        <f>H34</f>
        <v>0</v>
      </c>
      <c r="Q32" s="7">
        <v>-127.79430000000001</v>
      </c>
      <c r="R32" s="6">
        <v>167.0967</v>
      </c>
      <c r="S32" s="2">
        <f>K32+Q32</f>
        <v>1553.7057</v>
      </c>
      <c r="T32" s="2">
        <f>L32-O32+P32-R32</f>
        <v>310.44140000000004</v>
      </c>
      <c r="U32" s="3">
        <f t="shared" si="2"/>
        <v>1681.5</v>
      </c>
      <c r="V32" s="3">
        <f t="shared" si="5"/>
        <v>502.72</v>
      </c>
      <c r="W32" s="2">
        <f t="shared" si="3"/>
        <v>2184.2200000000003</v>
      </c>
      <c r="X32" s="4">
        <f>M32+N32</f>
        <v>2566.4054999999998</v>
      </c>
      <c r="Y32" s="3">
        <f>K32+L32</f>
        <v>2184.2200000000003</v>
      </c>
      <c r="Z32" s="2">
        <v>2201</v>
      </c>
      <c r="AA32" s="2">
        <f t="shared" si="4"/>
        <v>-16.779999999999745</v>
      </c>
    </row>
    <row r="33" spans="1:27" ht="13.6" x14ac:dyDescent="0.25">
      <c r="A33" s="1"/>
      <c r="B33" s="1" t="s">
        <v>30</v>
      </c>
      <c r="C33" s="1" t="s">
        <v>27</v>
      </c>
      <c r="D33" s="2">
        <v>-116.52670000000001</v>
      </c>
      <c r="E33" s="2">
        <v>-117</v>
      </c>
      <c r="F33" s="2"/>
      <c r="G33" s="2"/>
      <c r="H33" s="1"/>
      <c r="I33" s="1" t="s">
        <v>29</v>
      </c>
      <c r="J33" s="1">
        <v>5</v>
      </c>
      <c r="K33" s="3">
        <v>862.03</v>
      </c>
      <c r="L33" s="3">
        <v>464.68</v>
      </c>
      <c r="M33" s="5">
        <v>862.02570000000003</v>
      </c>
      <c r="N33" s="5">
        <v>779.56039999999996</v>
      </c>
      <c r="O33" s="7">
        <v>25.181899999999999</v>
      </c>
      <c r="P33" s="7">
        <v>0</v>
      </c>
      <c r="Q33" s="7">
        <v>-127.79430000000001</v>
      </c>
      <c r="R33" s="6">
        <v>167.0967</v>
      </c>
      <c r="S33" s="2">
        <f>K33+Q33</f>
        <v>734.23569999999995</v>
      </c>
      <c r="T33" s="2">
        <f>L33-O33+P33-R33</f>
        <v>272.40140000000002</v>
      </c>
      <c r="U33" s="3">
        <f t="shared" si="2"/>
        <v>862.03</v>
      </c>
      <c r="V33" s="3">
        <f t="shared" si="5"/>
        <v>464.68</v>
      </c>
      <c r="W33" s="2">
        <f t="shared" si="3"/>
        <v>1326.71</v>
      </c>
      <c r="X33" s="4">
        <f>M33+N33</f>
        <v>1641.5861</v>
      </c>
      <c r="Y33" s="3">
        <f>K33+L33</f>
        <v>1326.71</v>
      </c>
      <c r="Z33" s="2">
        <v>1334</v>
      </c>
      <c r="AA33" s="2">
        <f t="shared" si="4"/>
        <v>-7.2899999999999636</v>
      </c>
    </row>
    <row r="34" spans="1:27" ht="13.6" x14ac:dyDescent="0.25">
      <c r="A34" s="1"/>
      <c r="B34" s="1"/>
      <c r="C34" s="1"/>
      <c r="D34" s="1"/>
      <c r="E34" s="1"/>
      <c r="F34" s="1"/>
      <c r="G34" s="1"/>
      <c r="H34" s="1"/>
      <c r="I34" s="1" t="s">
        <v>29</v>
      </c>
      <c r="J34" s="1">
        <v>10</v>
      </c>
      <c r="K34" s="3">
        <v>622.94000000000005</v>
      </c>
      <c r="L34" s="3">
        <v>423.63</v>
      </c>
      <c r="M34" s="5">
        <v>622.93730000000005</v>
      </c>
      <c r="N34" s="5">
        <v>665.87329999999997</v>
      </c>
      <c r="O34" s="7">
        <v>25.181899999999999</v>
      </c>
      <c r="P34" s="7">
        <v>0</v>
      </c>
      <c r="Q34" s="7">
        <v>-127.79430000000001</v>
      </c>
      <c r="R34" s="6">
        <v>167.0967</v>
      </c>
      <c r="S34" s="2">
        <f>K34+Q34</f>
        <v>495.14570000000003</v>
      </c>
      <c r="T34" s="2">
        <f>L34-O34+P34-R34</f>
        <v>231.35140000000001</v>
      </c>
      <c r="U34" s="3">
        <f t="shared" si="2"/>
        <v>622.94000000000005</v>
      </c>
      <c r="V34" s="3">
        <f t="shared" si="5"/>
        <v>423.63</v>
      </c>
      <c r="W34" s="2">
        <f t="shared" si="3"/>
        <v>1046.5700000000002</v>
      </c>
      <c r="X34" s="4">
        <f>M34+N34</f>
        <v>1288.8106</v>
      </c>
      <c r="Y34" s="3">
        <f>K34+L34</f>
        <v>1046.5700000000002</v>
      </c>
      <c r="Z34" s="2">
        <v>1052</v>
      </c>
      <c r="AA34" s="2">
        <f t="shared" si="4"/>
        <v>-5.4299999999998363</v>
      </c>
    </row>
    <row r="35" spans="1:27" ht="13.6" x14ac:dyDescent="0.25">
      <c r="A35" s="1"/>
      <c r="B35" s="1"/>
      <c r="C35" s="8" t="s">
        <v>31</v>
      </c>
      <c r="D35" s="1"/>
      <c r="E35" s="1"/>
      <c r="F35" s="1"/>
      <c r="G35" s="1"/>
      <c r="H35" s="1"/>
      <c r="I35" s="1" t="s">
        <v>29</v>
      </c>
      <c r="J35" s="1">
        <v>20</v>
      </c>
      <c r="K35" s="3">
        <v>432.73</v>
      </c>
      <c r="L35" s="3">
        <v>359.14</v>
      </c>
      <c r="M35" s="5">
        <v>432.7337</v>
      </c>
      <c r="N35" s="5">
        <v>487.31599999999997</v>
      </c>
      <c r="O35" s="7">
        <v>25.181899999999999</v>
      </c>
      <c r="P35" s="7">
        <v>0</v>
      </c>
      <c r="Q35" s="7">
        <v>-127.79430000000001</v>
      </c>
      <c r="R35" s="6">
        <v>167.0967</v>
      </c>
      <c r="S35" s="2">
        <f>K35+Q35</f>
        <v>304.9357</v>
      </c>
      <c r="T35" s="2">
        <f>L35-O35+P35-R35</f>
        <v>166.8614</v>
      </c>
      <c r="U35" s="3">
        <f t="shared" si="2"/>
        <v>432.73</v>
      </c>
      <c r="V35" s="3">
        <f t="shared" si="5"/>
        <v>359.14</v>
      </c>
      <c r="W35" s="2">
        <f t="shared" si="3"/>
        <v>791.87</v>
      </c>
      <c r="X35" s="4">
        <f>M35+N35</f>
        <v>920.04970000000003</v>
      </c>
      <c r="Y35" s="3">
        <f>K35+L35</f>
        <v>791.87</v>
      </c>
      <c r="Z35" s="2">
        <v>794</v>
      </c>
      <c r="AA35" s="2">
        <f t="shared" si="4"/>
        <v>-2.1299999999999955</v>
      </c>
    </row>
    <row r="36" spans="1:27" ht="13.6" x14ac:dyDescent="0.25">
      <c r="A36" s="1"/>
      <c r="B36" s="1"/>
      <c r="C36" s="1"/>
      <c r="D36" s="1"/>
      <c r="E36" s="1"/>
      <c r="F36" s="1"/>
      <c r="G36" s="1"/>
      <c r="H36" s="1"/>
      <c r="I36" s="1" t="s">
        <v>29</v>
      </c>
      <c r="J36" s="1">
        <v>30</v>
      </c>
      <c r="K36" s="3">
        <v>340.05</v>
      </c>
      <c r="L36" s="3">
        <v>312.63</v>
      </c>
      <c r="M36" s="5">
        <v>340.05090000000001</v>
      </c>
      <c r="N36" s="5">
        <v>358.52170000000001</v>
      </c>
      <c r="O36" s="7">
        <v>25.181899999999999</v>
      </c>
      <c r="P36" s="7">
        <v>0</v>
      </c>
      <c r="Q36" s="7">
        <v>-127.79430000000001</v>
      </c>
      <c r="R36" s="6">
        <v>167.0967</v>
      </c>
      <c r="S36" s="2">
        <f>K36+Q36</f>
        <v>212.25569999999999</v>
      </c>
      <c r="T36" s="2">
        <f>L36-O36+P36-R36</f>
        <v>120.35140000000001</v>
      </c>
      <c r="U36" s="3">
        <f t="shared" si="2"/>
        <v>340.05</v>
      </c>
      <c r="V36" s="3">
        <f t="shared" si="5"/>
        <v>312.63</v>
      </c>
      <c r="W36" s="2">
        <f t="shared" si="3"/>
        <v>652.68000000000006</v>
      </c>
      <c r="X36" s="4">
        <f>M36+N36</f>
        <v>698.57259999999997</v>
      </c>
      <c r="Y36" s="3">
        <f>K36+L36</f>
        <v>652.68000000000006</v>
      </c>
      <c r="Z36" s="2">
        <v>654</v>
      </c>
      <c r="AA36" s="2">
        <f t="shared" si="4"/>
        <v>-1.3199999999999363</v>
      </c>
    </row>
    <row r="37" spans="1:27" ht="13.6" x14ac:dyDescent="0.25">
      <c r="A37" s="1"/>
      <c r="B37" s="1"/>
      <c r="C37" s="1"/>
      <c r="D37" s="1"/>
      <c r="E37" s="1"/>
      <c r="F37" s="1"/>
      <c r="G37" s="1"/>
      <c r="H37" s="1"/>
      <c r="I37" s="1" t="s">
        <v>29</v>
      </c>
      <c r="J37" s="1">
        <v>40</v>
      </c>
      <c r="K37" s="3">
        <v>281.42</v>
      </c>
      <c r="L37" s="3">
        <v>279.08999999999997</v>
      </c>
      <c r="M37" s="5">
        <v>281.41989999999998</v>
      </c>
      <c r="N37" s="5">
        <v>265.62169999999998</v>
      </c>
      <c r="O37" s="7">
        <v>25.181899999999999</v>
      </c>
      <c r="P37" s="7">
        <v>0</v>
      </c>
      <c r="Q37" s="7">
        <v>-127.79430000000001</v>
      </c>
      <c r="R37" s="6">
        <v>167.0967</v>
      </c>
      <c r="S37" s="2">
        <f>K37+Q37</f>
        <v>153.62569999999999</v>
      </c>
      <c r="T37" s="2">
        <f>L37-O37+P37-R37</f>
        <v>86.811399999999992</v>
      </c>
      <c r="U37" s="3">
        <f t="shared" si="2"/>
        <v>281.42</v>
      </c>
      <c r="V37" s="3">
        <f t="shared" si="5"/>
        <v>279.08999999999997</v>
      </c>
      <c r="W37" s="2">
        <f t="shared" si="3"/>
        <v>560.51</v>
      </c>
      <c r="X37" s="4">
        <f>M37+N37</f>
        <v>547.04160000000002</v>
      </c>
      <c r="Y37" s="3">
        <f>K37+L37</f>
        <v>560.51</v>
      </c>
      <c r="Z37" s="2">
        <v>561</v>
      </c>
      <c r="AA37" s="2">
        <f t="shared" si="4"/>
        <v>-0.49000000000000909</v>
      </c>
    </row>
    <row r="38" spans="1:27" ht="13.6" x14ac:dyDescent="0.25">
      <c r="A38" s="1"/>
      <c r="B38" s="1"/>
      <c r="C38" s="1"/>
      <c r="D38" s="1"/>
      <c r="E38" s="1"/>
      <c r="F38" s="1"/>
      <c r="G38" s="1"/>
      <c r="H38" s="1"/>
      <c r="I38" s="1" t="s">
        <v>29</v>
      </c>
      <c r="J38" s="1">
        <v>50</v>
      </c>
      <c r="K38" s="3">
        <v>239.62</v>
      </c>
      <c r="L38" s="3">
        <v>254.89</v>
      </c>
      <c r="M38" s="5">
        <v>239.62440000000001</v>
      </c>
      <c r="N38" s="5">
        <v>198.61250000000001</v>
      </c>
      <c r="O38" s="7">
        <v>25.181899999999999</v>
      </c>
      <c r="P38" s="7">
        <v>0</v>
      </c>
      <c r="Q38" s="7">
        <v>-127.79430000000001</v>
      </c>
      <c r="R38" s="6">
        <v>167.0967</v>
      </c>
      <c r="S38" s="2">
        <f>K38+Q38</f>
        <v>111.8257</v>
      </c>
      <c r="T38" s="2">
        <f>L38-O38+P38-R38</f>
        <v>62.611400000000003</v>
      </c>
      <c r="U38" s="3">
        <f t="shared" si="2"/>
        <v>239.62</v>
      </c>
      <c r="V38" s="3">
        <f t="shared" si="5"/>
        <v>254.89</v>
      </c>
      <c r="W38" s="2">
        <f t="shared" si="3"/>
        <v>494.51</v>
      </c>
      <c r="X38" s="4">
        <f>M38+N38</f>
        <v>438.23689999999999</v>
      </c>
      <c r="Y38" s="3">
        <f>K38+L38</f>
        <v>494.51</v>
      </c>
      <c r="Z38" s="2">
        <v>494</v>
      </c>
      <c r="AA38" s="2">
        <f t="shared" si="4"/>
        <v>0.50999999999999091</v>
      </c>
    </row>
    <row r="39" spans="1:27" ht="13.6" x14ac:dyDescent="0.25">
      <c r="A39" s="1"/>
      <c r="B39" s="1"/>
      <c r="C39" s="1"/>
      <c r="D39" s="1"/>
      <c r="E39" s="1"/>
      <c r="F39" s="1"/>
      <c r="G39" s="1"/>
      <c r="H39" s="1"/>
      <c r="I39" s="1" t="s">
        <v>29</v>
      </c>
      <c r="J39" s="1">
        <v>65</v>
      </c>
      <c r="K39" s="3">
        <v>194.26</v>
      </c>
      <c r="L39" s="3">
        <v>230.63</v>
      </c>
      <c r="M39" s="5">
        <v>194.262</v>
      </c>
      <c r="N39" s="5">
        <v>131.42590000000001</v>
      </c>
      <c r="O39" s="7">
        <v>25.181899999999999</v>
      </c>
      <c r="P39" s="7">
        <v>0</v>
      </c>
      <c r="Q39" s="7">
        <v>-127.79430000000001</v>
      </c>
      <c r="R39" s="6">
        <v>167.0967</v>
      </c>
      <c r="S39" s="2">
        <f>K39+Q39</f>
        <v>66.465699999999984</v>
      </c>
      <c r="T39" s="2">
        <f>L39-O39+P39-R39</f>
        <v>38.351400000000012</v>
      </c>
      <c r="U39" s="3">
        <f t="shared" si="2"/>
        <v>194.26</v>
      </c>
      <c r="V39" s="3">
        <f t="shared" si="5"/>
        <v>230.63</v>
      </c>
      <c r="W39" s="2">
        <f t="shared" si="3"/>
        <v>424.89</v>
      </c>
      <c r="X39" s="4">
        <f>M39+N39</f>
        <v>325.68790000000001</v>
      </c>
      <c r="Y39" s="3">
        <f>K39+L39</f>
        <v>424.89</v>
      </c>
      <c r="Z39" s="2">
        <v>424</v>
      </c>
      <c r="AA39" s="2">
        <f t="shared" si="4"/>
        <v>0.88999999999998636</v>
      </c>
    </row>
    <row r="40" spans="1:27" ht="13.6" x14ac:dyDescent="0.25">
      <c r="A40" s="1"/>
      <c r="B40" s="1"/>
      <c r="C40" s="1"/>
      <c r="D40" s="1"/>
      <c r="E40" s="1"/>
      <c r="F40" s="1"/>
      <c r="G40" s="1"/>
      <c r="H40" s="1"/>
      <c r="I40" s="1" t="s">
        <v>29</v>
      </c>
      <c r="J40" s="1">
        <v>80</v>
      </c>
      <c r="K40" s="3">
        <v>161.04</v>
      </c>
      <c r="L40" s="3">
        <v>215.77</v>
      </c>
      <c r="M40" s="5">
        <v>161.04419999999999</v>
      </c>
      <c r="N40" s="5">
        <v>90.267300000000006</v>
      </c>
      <c r="O40" s="7">
        <v>25.181899999999999</v>
      </c>
      <c r="P40" s="7">
        <v>0</v>
      </c>
      <c r="Q40" s="7">
        <v>-127.79430000000001</v>
      </c>
      <c r="R40" s="6">
        <v>167.0967</v>
      </c>
      <c r="S40" s="2">
        <f>K40+Q40</f>
        <v>33.245699999999985</v>
      </c>
      <c r="T40" s="2">
        <f>L40-O40+P40-R40</f>
        <v>23.491399999999999</v>
      </c>
      <c r="U40" s="3">
        <f t="shared" si="2"/>
        <v>161.04</v>
      </c>
      <c r="V40" s="3">
        <f t="shared" si="5"/>
        <v>215.76999999999998</v>
      </c>
      <c r="W40" s="2">
        <f t="shared" si="3"/>
        <v>376.80999999999995</v>
      </c>
      <c r="X40" s="4">
        <f>M40+N40</f>
        <v>251.3115</v>
      </c>
      <c r="Y40" s="3">
        <f>K40+L40</f>
        <v>376.81</v>
      </c>
      <c r="Z40" s="2">
        <v>376</v>
      </c>
      <c r="AA40" s="2">
        <f t="shared" si="4"/>
        <v>0.81000000000000227</v>
      </c>
    </row>
    <row r="41" spans="1:27" ht="13.6" x14ac:dyDescent="0.25">
      <c r="A41" s="1"/>
      <c r="B41" s="1"/>
      <c r="C41" s="1"/>
      <c r="D41" s="1"/>
      <c r="E41" s="1"/>
      <c r="F41" s="1"/>
      <c r="G41" s="1"/>
      <c r="H41" s="1"/>
      <c r="I41" s="1" t="s">
        <v>29</v>
      </c>
      <c r="J41" s="1">
        <v>100</v>
      </c>
      <c r="K41" s="3">
        <v>127.79</v>
      </c>
      <c r="L41" s="3">
        <v>204.5</v>
      </c>
      <c r="M41" s="5">
        <v>127.79430000000001</v>
      </c>
      <c r="N41" s="5">
        <v>59.044600000000003</v>
      </c>
      <c r="O41" s="7">
        <v>25.181899999999999</v>
      </c>
      <c r="P41" s="7">
        <v>0</v>
      </c>
      <c r="Q41" s="7">
        <v>-127.79430000000001</v>
      </c>
      <c r="R41" s="6">
        <v>167.0967</v>
      </c>
      <c r="S41" s="2">
        <f>K41+Q41</f>
        <v>-4.3000000000006366E-3</v>
      </c>
      <c r="T41" s="2">
        <f>L41-O41+P41-R41</f>
        <v>12.221400000000017</v>
      </c>
      <c r="U41" s="3">
        <f t="shared" si="2"/>
        <v>127.79</v>
      </c>
      <c r="V41" s="3">
        <f t="shared" si="5"/>
        <v>204.5</v>
      </c>
      <c r="W41" s="2">
        <f t="shared" si="3"/>
        <v>332.29</v>
      </c>
      <c r="X41" s="4">
        <f>M41+N41</f>
        <v>186.83890000000002</v>
      </c>
      <c r="Y41" s="3">
        <f>K41+L41</f>
        <v>332.29</v>
      </c>
      <c r="Z41" s="2">
        <v>331</v>
      </c>
      <c r="AA41" s="2">
        <f t="shared" si="4"/>
        <v>1.2900000000000205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Barry</dc:creator>
  <cp:lastModifiedBy>Christopher Barry</cp:lastModifiedBy>
  <dcterms:created xsi:type="dcterms:W3CDTF">2025-10-27T20:05:30Z</dcterms:created>
  <dcterms:modified xsi:type="dcterms:W3CDTF">2025-10-27T21:07:24Z</dcterms:modified>
</cp:coreProperties>
</file>